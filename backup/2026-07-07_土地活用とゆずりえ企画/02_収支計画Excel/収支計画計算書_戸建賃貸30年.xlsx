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収支計画30年" sheetId="2" state="visible" r:id="rId2"/>
    <sheet name="サマリ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6">
    <font>
      <name val="Calibri"/>
      <family val="2"/>
      <color theme="1"/>
      <sz val="11"/>
      <scheme val="minor"/>
    </font>
    <font>
      <name val="游ゴシック"/>
      <b val="1"/>
      <color rgb="001F3864"/>
      <sz val="14"/>
    </font>
    <font>
      <name val="游ゴシック"/>
      <color rgb="00808080"/>
      <sz val="9"/>
    </font>
    <font>
      <name val="游ゴシック"/>
      <b val="1"/>
      <color rgb="00FFFFFF"/>
      <sz val="10"/>
    </font>
    <font>
      <name val="游ゴシック"/>
      <sz val="10"/>
    </font>
    <font>
      <name val="游ゴシック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2" fillId="0" borderId="1" pivotButton="0" quotePrefix="0" xfId="0"/>
    <xf numFmtId="3" fontId="4" fillId="3" borderId="1" applyAlignment="1" pivotButton="0" quotePrefix="0" xfId="0">
      <alignment horizontal="right" vertical="center"/>
    </xf>
    <xf numFmtId="0" fontId="5" fillId="0" borderId="1" pivotButton="0" quotePrefix="0" xfId="0"/>
    <xf numFmtId="3" fontId="5" fillId="4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0" fontId="4" fillId="6" borderId="1" pivotButton="0" quotePrefix="0" xfId="0"/>
    <xf numFmtId="0" fontId="5" fillId="6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キャッシュフローの推移(30年)</a:t>
            </a:r>
          </a:p>
        </rich>
      </tx>
    </title>
    <plotArea>
      <lineChart>
        <grouping val="standard"/>
        <ser>
          <idx val="0"/>
          <order val="0"/>
          <tx>
            <strRef>
              <f>'収支計画30年'!R3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'収支計画30年'!$A$4:$A$33</f>
            </numRef>
          </cat>
          <val>
            <numRef>
              <f>'収支計画30年'!$R$4:$R$33</f>
            </numRef>
          </val>
        </ser>
        <ser>
          <idx val="1"/>
          <order val="1"/>
          <tx>
            <strRef>
              <f>'収支計画30年'!S3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'収支計画30年'!$A$4:$A$33</f>
            </numRef>
          </cat>
          <val>
            <numRef>
              <f>'収支計画30年'!$S$4:$S$33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79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52" customWidth="1" min="4" max="4"/>
  </cols>
  <sheetData>
    <row r="1">
      <c r="A1" s="1" t="inlineStr">
        <is>
          <t>収支計画計算書 — 前提条件(入力シート)</t>
        </is>
      </c>
    </row>
    <row r="2">
      <c r="A2" s="2" t="inlineStr">
        <is>
          <t>黄色のセルだけ入力してください。緑のセルと他のシートはすべて自動計算されます。</t>
        </is>
      </c>
    </row>
    <row r="4">
      <c r="A4" s="3" t="inlineStr">
        <is>
          <t>■ 建築計画</t>
        </is>
      </c>
      <c r="B4" s="3" t="inlineStr"/>
      <c r="C4" s="3" t="inlineStr"/>
      <c r="D4" s="3" t="inlineStr"/>
    </row>
    <row r="5">
      <c r="A5" s="4" t="inlineStr">
        <is>
          <t>棟数(戸数)</t>
        </is>
      </c>
      <c r="B5" s="5" t="n">
        <v>3</v>
      </c>
      <c r="C5" s="6" t="inlineStr">
        <is>
          <t>棟</t>
        </is>
      </c>
      <c r="D5" s="7" t="inlineStr">
        <is>
          <t>アパートの場合は戸数として使用</t>
        </is>
      </c>
    </row>
    <row r="6">
      <c r="A6" s="4" t="inlineStr">
        <is>
          <t>建築費(1棟・1戸あたり)</t>
        </is>
      </c>
      <c r="B6" s="8" t="n">
        <v>17000000</v>
      </c>
      <c r="C6" s="6" t="inlineStr">
        <is>
          <t>円</t>
        </is>
      </c>
      <c r="D6" s="7" t="inlineStr">
        <is>
          <t>本体工事費(税込)</t>
        </is>
      </c>
    </row>
    <row r="7">
      <c r="A7" s="4" t="inlineStr">
        <is>
          <t>外構・諸費用(総額)</t>
        </is>
      </c>
      <c r="B7" s="8" t="n">
        <v>3000000</v>
      </c>
      <c r="C7" s="6" t="inlineStr">
        <is>
          <t>円</t>
        </is>
      </c>
      <c r="D7" s="7" t="inlineStr">
        <is>
          <t>外構・水道加入・登記・火災保険初回等</t>
        </is>
      </c>
    </row>
    <row r="8">
      <c r="A8" s="9" t="inlineStr">
        <is>
          <t>総事業費</t>
        </is>
      </c>
      <c r="B8" s="10">
        <f>B5*B6+B7</f>
        <v/>
      </c>
      <c r="C8" s="6" t="inlineStr">
        <is>
          <t>円</t>
        </is>
      </c>
      <c r="D8" s="7" t="inlineStr"/>
    </row>
    <row r="10">
      <c r="A10" s="3" t="inlineStr">
        <is>
          <t>■ 資金計画</t>
        </is>
      </c>
      <c r="B10" s="3" t="inlineStr"/>
      <c r="C10" s="3" t="inlineStr"/>
      <c r="D10" s="3" t="inlineStr"/>
    </row>
    <row r="11">
      <c r="A11" s="4" t="inlineStr">
        <is>
          <t>自己資金</t>
        </is>
      </c>
      <c r="B11" s="8" t="n">
        <v>10000000</v>
      </c>
      <c r="C11" s="6" t="inlineStr">
        <is>
          <t>円</t>
        </is>
      </c>
      <c r="D11" s="7" t="inlineStr">
        <is>
          <t>推奨: 総事業費の2割</t>
        </is>
      </c>
    </row>
    <row r="12">
      <c r="A12" s="9" t="inlineStr">
        <is>
          <t>借入額</t>
        </is>
      </c>
      <c r="B12" s="10">
        <f>B8-B11</f>
        <v/>
      </c>
      <c r="C12" s="6" t="inlineStr">
        <is>
          <t>円</t>
        </is>
      </c>
      <c r="D12" s="7" t="inlineStr"/>
    </row>
    <row r="13">
      <c r="A13" s="4" t="inlineStr">
        <is>
          <t>借入金利(年利)</t>
        </is>
      </c>
      <c r="B13" s="11" t="n">
        <v>0.02</v>
      </c>
      <c r="C13" s="6" t="inlineStr"/>
      <c r="D13" s="7" t="inlineStr">
        <is>
          <t>変動の場合は現行金利。サマリーで+1%/+2%も自動比較</t>
        </is>
      </c>
    </row>
    <row r="14">
      <c r="A14" s="4" t="inlineStr">
        <is>
          <t>返済期間</t>
        </is>
      </c>
      <c r="B14" s="5" t="n">
        <v>25</v>
      </c>
      <c r="C14" s="6" t="inlineStr">
        <is>
          <t>年</t>
        </is>
      </c>
      <c r="D14" s="7" t="inlineStr">
        <is>
          <t>元利均等返済を想定</t>
        </is>
      </c>
    </row>
    <row r="15">
      <c r="A15" s="9" t="inlineStr">
        <is>
          <t>年間返済額</t>
        </is>
      </c>
      <c r="B15" s="10">
        <f>IF(B12&lt;=0,0,PMT(B13/12,B14*12,-B12)*12)</f>
        <v/>
      </c>
      <c r="C15" s="6" t="inlineStr">
        <is>
          <t>円/年</t>
        </is>
      </c>
      <c r="D15" s="7" t="inlineStr"/>
    </row>
    <row r="17">
      <c r="A17" s="3" t="inlineStr">
        <is>
          <t>■ 収入計画</t>
        </is>
      </c>
      <c r="B17" s="3" t="inlineStr"/>
      <c r="C17" s="3" t="inlineStr"/>
      <c r="D17" s="3" t="inlineStr"/>
    </row>
    <row r="18">
      <c r="A18" s="4" t="inlineStr">
        <is>
          <t>月額家賃(1棟・1戸あたり)</t>
        </is>
      </c>
      <c r="B18" s="8" t="n">
        <v>85000</v>
      </c>
      <c r="C18" s="6" t="inlineStr">
        <is>
          <t>円/月</t>
        </is>
      </c>
      <c r="D18" s="7" t="inlineStr">
        <is>
          <t>周辺成約事例に基づき設定</t>
        </is>
      </c>
    </row>
    <row r="19">
      <c r="A19" s="9" t="inlineStr">
        <is>
          <t>満室時 年間家賃収入</t>
        </is>
      </c>
      <c r="B19" s="10">
        <f>B5*B18*12</f>
        <v/>
      </c>
      <c r="C19" s="6" t="inlineStr">
        <is>
          <t>円/年</t>
        </is>
      </c>
      <c r="D19" s="7" t="inlineStr"/>
    </row>
    <row r="20">
      <c r="A20" s="4" t="inlineStr">
        <is>
          <t>空室率(1〜15年目)</t>
        </is>
      </c>
      <c r="B20" s="11" t="n">
        <v>0.05</v>
      </c>
      <c r="C20" s="6" t="inlineStr"/>
      <c r="D20" s="7" t="inlineStr">
        <is>
          <t>戸建賃貸は5%程度が目安</t>
        </is>
      </c>
    </row>
    <row r="21">
      <c r="A21" s="4" t="inlineStr">
        <is>
          <t>空室率(16年目以降)</t>
        </is>
      </c>
      <c r="B21" s="11" t="n">
        <v>0.1</v>
      </c>
      <c r="C21" s="6" t="inlineStr"/>
      <c r="D21" s="7" t="inlineStr">
        <is>
          <t>築年数経過による上昇を織り込み</t>
        </is>
      </c>
    </row>
    <row r="22">
      <c r="A22" s="4" t="inlineStr">
        <is>
          <t>家賃下落率(年)</t>
        </is>
      </c>
      <c r="B22" s="11" t="n">
        <v>0.01</v>
      </c>
      <c r="C22" s="6" t="inlineStr"/>
      <c r="D22" s="7" t="inlineStr">
        <is>
          <t>毎年この率で逓減させる保守的前提</t>
        </is>
      </c>
    </row>
    <row r="24">
      <c r="A24" s="3" t="inlineStr">
        <is>
          <t>■ 運営費</t>
        </is>
      </c>
      <c r="B24" s="3" t="inlineStr"/>
      <c r="C24" s="3" t="inlineStr"/>
      <c r="D24" s="3" t="inlineStr"/>
    </row>
    <row r="25">
      <c r="A25" s="4" t="inlineStr">
        <is>
          <t>管理委託料率(実効家賃に対し)</t>
        </is>
      </c>
      <c r="B25" s="11" t="n">
        <v>0.05</v>
      </c>
      <c r="C25" s="6" t="inlineStr"/>
      <c r="D25" s="7" t="inlineStr">
        <is>
          <t>一般管理委託の相場 3〜5%</t>
        </is>
      </c>
    </row>
    <row r="26">
      <c r="A26" s="4" t="inlineStr">
        <is>
          <t>固定資産税・都市計画税(年)</t>
        </is>
      </c>
      <c r="B26" s="8" t="n">
        <v>350000</v>
      </c>
      <c r="C26" s="6" t="inlineStr">
        <is>
          <t>円/年</t>
        </is>
      </c>
      <c r="D26" s="7" t="inlineStr">
        <is>
          <t>建物+住宅用地特例後の土地分</t>
        </is>
      </c>
    </row>
    <row r="27">
      <c r="A27" s="4" t="inlineStr">
        <is>
          <t>火災保険・その他経費(年)</t>
        </is>
      </c>
      <c r="B27" s="8" t="n">
        <v>100000</v>
      </c>
      <c r="C27" s="6" t="inlineStr">
        <is>
          <t>円/年</t>
        </is>
      </c>
      <c r="D27" s="7" t="inlineStr"/>
    </row>
    <row r="28">
      <c r="A28" s="4" t="inlineStr">
        <is>
          <t>小修繕・原状回復費(年)</t>
        </is>
      </c>
      <c r="B28" s="8" t="n">
        <v>100000</v>
      </c>
      <c r="C28" s="6" t="inlineStr">
        <is>
          <t>円/年</t>
        </is>
      </c>
      <c r="D28" s="7" t="inlineStr">
        <is>
          <t>大規模修繕とは別枠。二重計上しないこと</t>
        </is>
      </c>
    </row>
    <row r="29">
      <c r="A29" s="4" t="inlineStr">
        <is>
          <t>大規模修繕①(実施年/金額)</t>
        </is>
      </c>
      <c r="B29" s="5" t="n">
        <v>12</v>
      </c>
      <c r="C29" s="8" t="n">
        <v>4500000</v>
      </c>
      <c r="D29" s="7" t="inlineStr">
        <is>
          <t>外壁・屋根等 (例:150万円×3棟)</t>
        </is>
      </c>
    </row>
    <row r="30">
      <c r="A30" s="4" t="inlineStr">
        <is>
          <t>大規模修繕②(実施年/金額)</t>
        </is>
      </c>
      <c r="B30" s="5" t="n">
        <v>24</v>
      </c>
      <c r="C30" s="8" t="n">
        <v>4500000</v>
      </c>
      <c r="D30" s="7" t="inlineStr">
        <is>
          <t>設備更新等</t>
        </is>
      </c>
    </row>
    <row r="32">
      <c r="A32" s="3" t="inlineStr">
        <is>
          <t>■ 税金(概算用)</t>
        </is>
      </c>
      <c r="B32" s="3" t="inlineStr"/>
      <c r="C32" s="3" t="inlineStr"/>
      <c r="D32" s="3" t="inlineStr"/>
    </row>
    <row r="33">
      <c r="A33" s="9" t="inlineStr">
        <is>
          <t>減価償却対象(建物本体)</t>
        </is>
      </c>
      <c r="B33" s="10">
        <f>B5*B6</f>
        <v/>
      </c>
      <c r="C33" s="6" t="inlineStr">
        <is>
          <t>円</t>
        </is>
      </c>
      <c r="D33" s="7" t="inlineStr">
        <is>
          <t>外構等は簡便化のため除外</t>
        </is>
      </c>
    </row>
    <row r="34">
      <c r="A34" s="4" t="inlineStr">
        <is>
          <t>償却率(木造・法定22年 定額法)</t>
        </is>
      </c>
      <c r="B34" s="12" t="n">
        <v>0.046</v>
      </c>
      <c r="C34" s="6" t="inlineStr"/>
      <c r="D34" s="7" t="inlineStr">
        <is>
          <t>軽量鉄骨等の場合は変更</t>
        </is>
      </c>
    </row>
    <row r="35">
      <c r="A35" s="4" t="inlineStr">
        <is>
          <t>所得税+住民税の適用税率(概算)</t>
        </is>
      </c>
      <c r="B35" s="11" t="n">
        <v>0.3</v>
      </c>
      <c r="C35" s="6" t="inlineStr"/>
      <c r="D35" s="7" t="inlineStr">
        <is>
          <t>他の所得と合算した実効税率の目安</t>
        </is>
      </c>
    </row>
    <row r="37">
      <c r="A37" s="2" t="inlineStr">
        <is>
          <t>※ 本シートは概算シミュレーションです。税務の取扱いは税理士にご確認ください。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1" customWidth="1" min="13" max="13"/>
    <col width="14" customWidth="1" min="14" max="14"/>
    <col width="12" customWidth="1" min="15" max="15"/>
    <col width="12" customWidth="1" min="16" max="16"/>
    <col width="11" customWidth="1" min="17" max="17"/>
    <col width="14" customWidth="1" min="18" max="18"/>
    <col width="15" customWidth="1" min="19" max="19"/>
  </cols>
  <sheetData>
    <row r="1">
      <c r="A1" s="1" t="inlineStr">
        <is>
          <t>30年 収支計画計算書(自動計算)</t>
        </is>
      </c>
    </row>
    <row r="2">
      <c r="A2" s="2" t="inlineStr">
        <is>
          <t>前提条件シートの黄色セルを変更すると、本シートは自動で再計算されます。金額単位: 円</t>
        </is>
      </c>
    </row>
    <row r="3">
      <c r="A3" s="13" t="inlineStr">
        <is>
          <t>年次</t>
        </is>
      </c>
      <c r="B3" s="13" t="inlineStr">
        <is>
          <t>満室時
家賃収入</t>
        </is>
      </c>
      <c r="C3" s="13" t="inlineStr">
        <is>
          <t>空室損</t>
        </is>
      </c>
      <c r="D3" s="13" t="inlineStr">
        <is>
          <t>実効
家賃収入</t>
        </is>
      </c>
      <c r="E3" s="13" t="inlineStr">
        <is>
          <t>管理料</t>
        </is>
      </c>
      <c r="F3" s="13" t="inlineStr">
        <is>
          <t>固都税</t>
        </is>
      </c>
      <c r="G3" s="13" t="inlineStr">
        <is>
          <t>保険
その他</t>
        </is>
      </c>
      <c r="H3" s="13" t="inlineStr">
        <is>
          <t>小修繕・
原状回復</t>
        </is>
      </c>
      <c r="I3" s="13" t="inlineStr">
        <is>
          <t>大規模
修繕</t>
        </is>
      </c>
      <c r="J3" s="13" t="inlineStr">
        <is>
          <t>運営費 計</t>
        </is>
      </c>
      <c r="K3" s="13" t="inlineStr">
        <is>
          <t>営業純収益
(NOI)</t>
        </is>
      </c>
      <c r="L3" s="13" t="inlineStr">
        <is>
          <t>借入返済額
(元利)</t>
        </is>
      </c>
      <c r="M3" s="13" t="inlineStr">
        <is>
          <t>(うち利息)</t>
        </is>
      </c>
      <c r="N3" s="13" t="inlineStr">
        <is>
          <t>税引前
キャッシュフロー</t>
        </is>
      </c>
      <c r="O3" s="13" t="inlineStr">
        <is>
          <t>減価償却費
(参考)</t>
        </is>
      </c>
      <c r="P3" s="13" t="inlineStr">
        <is>
          <t>不動産所得
(概算)</t>
        </is>
      </c>
      <c r="Q3" s="13" t="inlineStr">
        <is>
          <t>税金
(概算)</t>
        </is>
      </c>
      <c r="R3" s="13" t="inlineStr">
        <is>
          <t>税引後
キャッシュフロー</t>
        </is>
      </c>
      <c r="S3" s="13" t="inlineStr">
        <is>
          <t>累計
キャッシュフロー</t>
        </is>
      </c>
    </row>
    <row r="4">
      <c r="A4" s="14" t="n">
        <v>1</v>
      </c>
      <c r="B4" s="15">
        <f>'前提条件'!$B$19*(1-'前提条件'!$B$22)^(A4-1)</f>
        <v/>
      </c>
      <c r="C4" s="15">
        <f>-B4*IF(A4&gt;=16,'前提条件'!$B$21,'前提条件'!$B$20)</f>
        <v/>
      </c>
      <c r="D4" s="15">
        <f>B4+C4</f>
        <v/>
      </c>
      <c r="E4" s="15">
        <f>-D4*'前提条件'!$B$25</f>
        <v/>
      </c>
      <c r="F4" s="15">
        <f>-'前提条件'!$B$26</f>
        <v/>
      </c>
      <c r="G4" s="15">
        <f>-'前提条件'!$B$27</f>
        <v/>
      </c>
      <c r="H4" s="15">
        <f>-'前提条件'!$B$28</f>
        <v/>
      </c>
      <c r="I4" s="15">
        <f>-IF(A4='前提条件'!$B$29,'前提条件'!$C$29,0)-IF(A4='前提条件'!$B$30,'前提条件'!$C$30,0)</f>
        <v/>
      </c>
      <c r="J4" s="15">
        <f>SUM(E4:I4)</f>
        <v/>
      </c>
      <c r="K4" s="15">
        <f>D4+J4</f>
        <v/>
      </c>
      <c r="L4" s="15">
        <f>-IF(A4&lt;='前提条件'!$B$14,'前提条件'!$B$15,0)</f>
        <v/>
      </c>
      <c r="M4" s="15">
        <f>IF(OR(A4&gt;'前提条件'!$B$14,'前提条件'!$B$12&lt;=0,'前提条件'!$B$13&lt;=0),0,CUMIPMT('前提条件'!$B$13/12,'前提条件'!$B$14*12,'前提条件'!$B$12,(A4-1)*12+1,A4*12,0))</f>
        <v/>
      </c>
      <c r="N4" s="15">
        <f>K4+L4</f>
        <v/>
      </c>
      <c r="O4" s="15">
        <f>IF(A4&lt;=22,'前提条件'!$B$33*'前提条件'!$B$34,0)</f>
        <v/>
      </c>
      <c r="P4" s="15">
        <f>K4+M4-O4</f>
        <v/>
      </c>
      <c r="Q4" s="15">
        <f>-MAX(0,P4*'前提条件'!$B$35)</f>
        <v/>
      </c>
      <c r="R4" s="15">
        <f>N4+Q4</f>
        <v/>
      </c>
      <c r="S4" s="15">
        <f>R4</f>
        <v/>
      </c>
    </row>
    <row r="5">
      <c r="A5" s="14" t="n">
        <v>2</v>
      </c>
      <c r="B5" s="15">
        <f>'前提条件'!$B$19*(1-'前提条件'!$B$22)^(A5-1)</f>
        <v/>
      </c>
      <c r="C5" s="15">
        <f>-B5*IF(A5&gt;=16,'前提条件'!$B$21,'前提条件'!$B$20)</f>
        <v/>
      </c>
      <c r="D5" s="15">
        <f>B5+C5</f>
        <v/>
      </c>
      <c r="E5" s="15">
        <f>-D5*'前提条件'!$B$25</f>
        <v/>
      </c>
      <c r="F5" s="15">
        <f>-'前提条件'!$B$26</f>
        <v/>
      </c>
      <c r="G5" s="15">
        <f>-'前提条件'!$B$27</f>
        <v/>
      </c>
      <c r="H5" s="15">
        <f>-'前提条件'!$B$28</f>
        <v/>
      </c>
      <c r="I5" s="15">
        <f>-IF(A5='前提条件'!$B$29,'前提条件'!$C$29,0)-IF(A5='前提条件'!$B$30,'前提条件'!$C$30,0)</f>
        <v/>
      </c>
      <c r="J5" s="15">
        <f>SUM(E5:I5)</f>
        <v/>
      </c>
      <c r="K5" s="15">
        <f>D5+J5</f>
        <v/>
      </c>
      <c r="L5" s="15">
        <f>-IF(A5&lt;='前提条件'!$B$14,'前提条件'!$B$15,0)</f>
        <v/>
      </c>
      <c r="M5" s="15">
        <f>IF(OR(A5&gt;'前提条件'!$B$14,'前提条件'!$B$12&lt;=0,'前提条件'!$B$13&lt;=0),0,CUMIPMT('前提条件'!$B$13/12,'前提条件'!$B$14*12,'前提条件'!$B$12,(A5-1)*12+1,A5*12,0))</f>
        <v/>
      </c>
      <c r="N5" s="15">
        <f>K5+L5</f>
        <v/>
      </c>
      <c r="O5" s="15">
        <f>IF(A5&lt;=22,'前提条件'!$B$33*'前提条件'!$B$34,0)</f>
        <v/>
      </c>
      <c r="P5" s="15">
        <f>K5+M5-O5</f>
        <v/>
      </c>
      <c r="Q5" s="15">
        <f>-MAX(0,P5*'前提条件'!$B$35)</f>
        <v/>
      </c>
      <c r="R5" s="15">
        <f>N5+Q5</f>
        <v/>
      </c>
      <c r="S5" s="15">
        <f>S4+R5</f>
        <v/>
      </c>
    </row>
    <row r="6">
      <c r="A6" s="14" t="n">
        <v>3</v>
      </c>
      <c r="B6" s="15">
        <f>'前提条件'!$B$19*(1-'前提条件'!$B$22)^(A6-1)</f>
        <v/>
      </c>
      <c r="C6" s="15">
        <f>-B6*IF(A6&gt;=16,'前提条件'!$B$21,'前提条件'!$B$20)</f>
        <v/>
      </c>
      <c r="D6" s="15">
        <f>B6+C6</f>
        <v/>
      </c>
      <c r="E6" s="15">
        <f>-D6*'前提条件'!$B$25</f>
        <v/>
      </c>
      <c r="F6" s="15">
        <f>-'前提条件'!$B$26</f>
        <v/>
      </c>
      <c r="G6" s="15">
        <f>-'前提条件'!$B$27</f>
        <v/>
      </c>
      <c r="H6" s="15">
        <f>-'前提条件'!$B$28</f>
        <v/>
      </c>
      <c r="I6" s="15">
        <f>-IF(A6='前提条件'!$B$29,'前提条件'!$C$29,0)-IF(A6='前提条件'!$B$30,'前提条件'!$C$30,0)</f>
        <v/>
      </c>
      <c r="J6" s="15">
        <f>SUM(E6:I6)</f>
        <v/>
      </c>
      <c r="K6" s="15">
        <f>D6+J6</f>
        <v/>
      </c>
      <c r="L6" s="15">
        <f>-IF(A6&lt;='前提条件'!$B$14,'前提条件'!$B$15,0)</f>
        <v/>
      </c>
      <c r="M6" s="15">
        <f>IF(OR(A6&gt;'前提条件'!$B$14,'前提条件'!$B$12&lt;=0,'前提条件'!$B$13&lt;=0),0,CUMIPMT('前提条件'!$B$13/12,'前提条件'!$B$14*12,'前提条件'!$B$12,(A6-1)*12+1,A6*12,0))</f>
        <v/>
      </c>
      <c r="N6" s="15">
        <f>K6+L6</f>
        <v/>
      </c>
      <c r="O6" s="15">
        <f>IF(A6&lt;=22,'前提条件'!$B$33*'前提条件'!$B$34,0)</f>
        <v/>
      </c>
      <c r="P6" s="15">
        <f>K6+M6-O6</f>
        <v/>
      </c>
      <c r="Q6" s="15">
        <f>-MAX(0,P6*'前提条件'!$B$35)</f>
        <v/>
      </c>
      <c r="R6" s="15">
        <f>N6+Q6</f>
        <v/>
      </c>
      <c r="S6" s="15">
        <f>S5+R6</f>
        <v/>
      </c>
    </row>
    <row r="7">
      <c r="A7" s="14" t="n">
        <v>4</v>
      </c>
      <c r="B7" s="15">
        <f>'前提条件'!$B$19*(1-'前提条件'!$B$22)^(A7-1)</f>
        <v/>
      </c>
      <c r="C7" s="15">
        <f>-B7*IF(A7&gt;=16,'前提条件'!$B$21,'前提条件'!$B$20)</f>
        <v/>
      </c>
      <c r="D7" s="15">
        <f>B7+C7</f>
        <v/>
      </c>
      <c r="E7" s="15">
        <f>-D7*'前提条件'!$B$25</f>
        <v/>
      </c>
      <c r="F7" s="15">
        <f>-'前提条件'!$B$26</f>
        <v/>
      </c>
      <c r="G7" s="15">
        <f>-'前提条件'!$B$27</f>
        <v/>
      </c>
      <c r="H7" s="15">
        <f>-'前提条件'!$B$28</f>
        <v/>
      </c>
      <c r="I7" s="15">
        <f>-IF(A7='前提条件'!$B$29,'前提条件'!$C$29,0)-IF(A7='前提条件'!$B$30,'前提条件'!$C$30,0)</f>
        <v/>
      </c>
      <c r="J7" s="15">
        <f>SUM(E7:I7)</f>
        <v/>
      </c>
      <c r="K7" s="15">
        <f>D7+J7</f>
        <v/>
      </c>
      <c r="L7" s="15">
        <f>-IF(A7&lt;='前提条件'!$B$14,'前提条件'!$B$15,0)</f>
        <v/>
      </c>
      <c r="M7" s="15">
        <f>IF(OR(A7&gt;'前提条件'!$B$14,'前提条件'!$B$12&lt;=0,'前提条件'!$B$13&lt;=0),0,CUMIPMT('前提条件'!$B$13/12,'前提条件'!$B$14*12,'前提条件'!$B$12,(A7-1)*12+1,A7*12,0))</f>
        <v/>
      </c>
      <c r="N7" s="15">
        <f>K7+L7</f>
        <v/>
      </c>
      <c r="O7" s="15">
        <f>IF(A7&lt;=22,'前提条件'!$B$33*'前提条件'!$B$34,0)</f>
        <v/>
      </c>
      <c r="P7" s="15">
        <f>K7+M7-O7</f>
        <v/>
      </c>
      <c r="Q7" s="15">
        <f>-MAX(0,P7*'前提条件'!$B$35)</f>
        <v/>
      </c>
      <c r="R7" s="15">
        <f>N7+Q7</f>
        <v/>
      </c>
      <c r="S7" s="15">
        <f>S6+R7</f>
        <v/>
      </c>
    </row>
    <row r="8">
      <c r="A8" s="14" t="n">
        <v>5</v>
      </c>
      <c r="B8" s="15">
        <f>'前提条件'!$B$19*(1-'前提条件'!$B$22)^(A8-1)</f>
        <v/>
      </c>
      <c r="C8" s="15">
        <f>-B8*IF(A8&gt;=16,'前提条件'!$B$21,'前提条件'!$B$20)</f>
        <v/>
      </c>
      <c r="D8" s="15">
        <f>B8+C8</f>
        <v/>
      </c>
      <c r="E8" s="15">
        <f>-D8*'前提条件'!$B$25</f>
        <v/>
      </c>
      <c r="F8" s="15">
        <f>-'前提条件'!$B$26</f>
        <v/>
      </c>
      <c r="G8" s="15">
        <f>-'前提条件'!$B$27</f>
        <v/>
      </c>
      <c r="H8" s="15">
        <f>-'前提条件'!$B$28</f>
        <v/>
      </c>
      <c r="I8" s="15">
        <f>-IF(A8='前提条件'!$B$29,'前提条件'!$C$29,0)-IF(A8='前提条件'!$B$30,'前提条件'!$C$30,0)</f>
        <v/>
      </c>
      <c r="J8" s="15">
        <f>SUM(E8:I8)</f>
        <v/>
      </c>
      <c r="K8" s="15">
        <f>D8+J8</f>
        <v/>
      </c>
      <c r="L8" s="15">
        <f>-IF(A8&lt;='前提条件'!$B$14,'前提条件'!$B$15,0)</f>
        <v/>
      </c>
      <c r="M8" s="15">
        <f>IF(OR(A8&gt;'前提条件'!$B$14,'前提条件'!$B$12&lt;=0,'前提条件'!$B$13&lt;=0),0,CUMIPMT('前提条件'!$B$13/12,'前提条件'!$B$14*12,'前提条件'!$B$12,(A8-1)*12+1,A8*12,0))</f>
        <v/>
      </c>
      <c r="N8" s="15">
        <f>K8+L8</f>
        <v/>
      </c>
      <c r="O8" s="15">
        <f>IF(A8&lt;=22,'前提条件'!$B$33*'前提条件'!$B$34,0)</f>
        <v/>
      </c>
      <c r="P8" s="15">
        <f>K8+M8-O8</f>
        <v/>
      </c>
      <c r="Q8" s="15">
        <f>-MAX(0,P8*'前提条件'!$B$35)</f>
        <v/>
      </c>
      <c r="R8" s="15">
        <f>N8+Q8</f>
        <v/>
      </c>
      <c r="S8" s="15">
        <f>S7+R8</f>
        <v/>
      </c>
    </row>
    <row r="9">
      <c r="A9" s="14" t="n">
        <v>6</v>
      </c>
      <c r="B9" s="15">
        <f>'前提条件'!$B$19*(1-'前提条件'!$B$22)^(A9-1)</f>
        <v/>
      </c>
      <c r="C9" s="15">
        <f>-B9*IF(A9&gt;=16,'前提条件'!$B$21,'前提条件'!$B$20)</f>
        <v/>
      </c>
      <c r="D9" s="15">
        <f>B9+C9</f>
        <v/>
      </c>
      <c r="E9" s="15">
        <f>-D9*'前提条件'!$B$25</f>
        <v/>
      </c>
      <c r="F9" s="15">
        <f>-'前提条件'!$B$26</f>
        <v/>
      </c>
      <c r="G9" s="15">
        <f>-'前提条件'!$B$27</f>
        <v/>
      </c>
      <c r="H9" s="15">
        <f>-'前提条件'!$B$28</f>
        <v/>
      </c>
      <c r="I9" s="15">
        <f>-IF(A9='前提条件'!$B$29,'前提条件'!$C$29,0)-IF(A9='前提条件'!$B$30,'前提条件'!$C$30,0)</f>
        <v/>
      </c>
      <c r="J9" s="15">
        <f>SUM(E9:I9)</f>
        <v/>
      </c>
      <c r="K9" s="15">
        <f>D9+J9</f>
        <v/>
      </c>
      <c r="L9" s="15">
        <f>-IF(A9&lt;='前提条件'!$B$14,'前提条件'!$B$15,0)</f>
        <v/>
      </c>
      <c r="M9" s="15">
        <f>IF(OR(A9&gt;'前提条件'!$B$14,'前提条件'!$B$12&lt;=0,'前提条件'!$B$13&lt;=0),0,CUMIPMT('前提条件'!$B$13/12,'前提条件'!$B$14*12,'前提条件'!$B$12,(A9-1)*12+1,A9*12,0))</f>
        <v/>
      </c>
      <c r="N9" s="15">
        <f>K9+L9</f>
        <v/>
      </c>
      <c r="O9" s="15">
        <f>IF(A9&lt;=22,'前提条件'!$B$33*'前提条件'!$B$34,0)</f>
        <v/>
      </c>
      <c r="P9" s="15">
        <f>K9+M9-O9</f>
        <v/>
      </c>
      <c r="Q9" s="15">
        <f>-MAX(0,P9*'前提条件'!$B$35)</f>
        <v/>
      </c>
      <c r="R9" s="15">
        <f>N9+Q9</f>
        <v/>
      </c>
      <c r="S9" s="15">
        <f>S8+R9</f>
        <v/>
      </c>
    </row>
    <row r="10">
      <c r="A10" s="14" t="n">
        <v>7</v>
      </c>
      <c r="B10" s="15">
        <f>'前提条件'!$B$19*(1-'前提条件'!$B$22)^(A10-1)</f>
        <v/>
      </c>
      <c r="C10" s="15">
        <f>-B10*IF(A10&gt;=16,'前提条件'!$B$21,'前提条件'!$B$20)</f>
        <v/>
      </c>
      <c r="D10" s="15">
        <f>B10+C10</f>
        <v/>
      </c>
      <c r="E10" s="15">
        <f>-D10*'前提条件'!$B$25</f>
        <v/>
      </c>
      <c r="F10" s="15">
        <f>-'前提条件'!$B$26</f>
        <v/>
      </c>
      <c r="G10" s="15">
        <f>-'前提条件'!$B$27</f>
        <v/>
      </c>
      <c r="H10" s="15">
        <f>-'前提条件'!$B$28</f>
        <v/>
      </c>
      <c r="I10" s="15">
        <f>-IF(A10='前提条件'!$B$29,'前提条件'!$C$29,0)-IF(A10='前提条件'!$B$30,'前提条件'!$C$30,0)</f>
        <v/>
      </c>
      <c r="J10" s="15">
        <f>SUM(E10:I10)</f>
        <v/>
      </c>
      <c r="K10" s="15">
        <f>D10+J10</f>
        <v/>
      </c>
      <c r="L10" s="15">
        <f>-IF(A10&lt;='前提条件'!$B$14,'前提条件'!$B$15,0)</f>
        <v/>
      </c>
      <c r="M10" s="15">
        <f>IF(OR(A10&gt;'前提条件'!$B$14,'前提条件'!$B$12&lt;=0,'前提条件'!$B$13&lt;=0),0,CUMIPMT('前提条件'!$B$13/12,'前提条件'!$B$14*12,'前提条件'!$B$12,(A10-1)*12+1,A10*12,0))</f>
        <v/>
      </c>
      <c r="N10" s="15">
        <f>K10+L10</f>
        <v/>
      </c>
      <c r="O10" s="15">
        <f>IF(A10&lt;=22,'前提条件'!$B$33*'前提条件'!$B$34,0)</f>
        <v/>
      </c>
      <c r="P10" s="15">
        <f>K10+M10-O10</f>
        <v/>
      </c>
      <c r="Q10" s="15">
        <f>-MAX(0,P10*'前提条件'!$B$35)</f>
        <v/>
      </c>
      <c r="R10" s="15">
        <f>N10+Q10</f>
        <v/>
      </c>
      <c r="S10" s="15">
        <f>S9+R10</f>
        <v/>
      </c>
    </row>
    <row r="11">
      <c r="A11" s="14" t="n">
        <v>8</v>
      </c>
      <c r="B11" s="15">
        <f>'前提条件'!$B$19*(1-'前提条件'!$B$22)^(A11-1)</f>
        <v/>
      </c>
      <c r="C11" s="15">
        <f>-B11*IF(A11&gt;=16,'前提条件'!$B$21,'前提条件'!$B$20)</f>
        <v/>
      </c>
      <c r="D11" s="15">
        <f>B11+C11</f>
        <v/>
      </c>
      <c r="E11" s="15">
        <f>-D11*'前提条件'!$B$25</f>
        <v/>
      </c>
      <c r="F11" s="15">
        <f>-'前提条件'!$B$26</f>
        <v/>
      </c>
      <c r="G11" s="15">
        <f>-'前提条件'!$B$27</f>
        <v/>
      </c>
      <c r="H11" s="15">
        <f>-'前提条件'!$B$28</f>
        <v/>
      </c>
      <c r="I11" s="15">
        <f>-IF(A11='前提条件'!$B$29,'前提条件'!$C$29,0)-IF(A11='前提条件'!$B$30,'前提条件'!$C$30,0)</f>
        <v/>
      </c>
      <c r="J11" s="15">
        <f>SUM(E11:I11)</f>
        <v/>
      </c>
      <c r="K11" s="15">
        <f>D11+J11</f>
        <v/>
      </c>
      <c r="L11" s="15">
        <f>-IF(A11&lt;='前提条件'!$B$14,'前提条件'!$B$15,0)</f>
        <v/>
      </c>
      <c r="M11" s="15">
        <f>IF(OR(A11&gt;'前提条件'!$B$14,'前提条件'!$B$12&lt;=0,'前提条件'!$B$13&lt;=0),0,CUMIPMT('前提条件'!$B$13/12,'前提条件'!$B$14*12,'前提条件'!$B$12,(A11-1)*12+1,A11*12,0))</f>
        <v/>
      </c>
      <c r="N11" s="15">
        <f>K11+L11</f>
        <v/>
      </c>
      <c r="O11" s="15">
        <f>IF(A11&lt;=22,'前提条件'!$B$33*'前提条件'!$B$34,0)</f>
        <v/>
      </c>
      <c r="P11" s="15">
        <f>K11+M11-O11</f>
        <v/>
      </c>
      <c r="Q11" s="15">
        <f>-MAX(0,P11*'前提条件'!$B$35)</f>
        <v/>
      </c>
      <c r="R11" s="15">
        <f>N11+Q11</f>
        <v/>
      </c>
      <c r="S11" s="15">
        <f>S10+R11</f>
        <v/>
      </c>
    </row>
    <row r="12">
      <c r="A12" s="14" t="n">
        <v>9</v>
      </c>
      <c r="B12" s="15">
        <f>'前提条件'!$B$19*(1-'前提条件'!$B$22)^(A12-1)</f>
        <v/>
      </c>
      <c r="C12" s="15">
        <f>-B12*IF(A12&gt;=16,'前提条件'!$B$21,'前提条件'!$B$20)</f>
        <v/>
      </c>
      <c r="D12" s="15">
        <f>B12+C12</f>
        <v/>
      </c>
      <c r="E12" s="15">
        <f>-D12*'前提条件'!$B$25</f>
        <v/>
      </c>
      <c r="F12" s="15">
        <f>-'前提条件'!$B$26</f>
        <v/>
      </c>
      <c r="G12" s="15">
        <f>-'前提条件'!$B$27</f>
        <v/>
      </c>
      <c r="H12" s="15">
        <f>-'前提条件'!$B$28</f>
        <v/>
      </c>
      <c r="I12" s="15">
        <f>-IF(A12='前提条件'!$B$29,'前提条件'!$C$29,0)-IF(A12='前提条件'!$B$30,'前提条件'!$C$30,0)</f>
        <v/>
      </c>
      <c r="J12" s="15">
        <f>SUM(E12:I12)</f>
        <v/>
      </c>
      <c r="K12" s="15">
        <f>D12+J12</f>
        <v/>
      </c>
      <c r="L12" s="15">
        <f>-IF(A12&lt;='前提条件'!$B$14,'前提条件'!$B$15,0)</f>
        <v/>
      </c>
      <c r="M12" s="15">
        <f>IF(OR(A12&gt;'前提条件'!$B$14,'前提条件'!$B$12&lt;=0,'前提条件'!$B$13&lt;=0),0,CUMIPMT('前提条件'!$B$13/12,'前提条件'!$B$14*12,'前提条件'!$B$12,(A12-1)*12+1,A12*12,0))</f>
        <v/>
      </c>
      <c r="N12" s="15">
        <f>K12+L12</f>
        <v/>
      </c>
      <c r="O12" s="15">
        <f>IF(A12&lt;=22,'前提条件'!$B$33*'前提条件'!$B$34,0)</f>
        <v/>
      </c>
      <c r="P12" s="15">
        <f>K12+M12-O12</f>
        <v/>
      </c>
      <c r="Q12" s="15">
        <f>-MAX(0,P12*'前提条件'!$B$35)</f>
        <v/>
      </c>
      <c r="R12" s="15">
        <f>N12+Q12</f>
        <v/>
      </c>
      <c r="S12" s="15">
        <f>S11+R12</f>
        <v/>
      </c>
    </row>
    <row r="13">
      <c r="A13" s="14" t="n">
        <v>10</v>
      </c>
      <c r="B13" s="15">
        <f>'前提条件'!$B$19*(1-'前提条件'!$B$22)^(A13-1)</f>
        <v/>
      </c>
      <c r="C13" s="15">
        <f>-B13*IF(A13&gt;=16,'前提条件'!$B$21,'前提条件'!$B$20)</f>
        <v/>
      </c>
      <c r="D13" s="15">
        <f>B13+C13</f>
        <v/>
      </c>
      <c r="E13" s="15">
        <f>-D13*'前提条件'!$B$25</f>
        <v/>
      </c>
      <c r="F13" s="15">
        <f>-'前提条件'!$B$26</f>
        <v/>
      </c>
      <c r="G13" s="15">
        <f>-'前提条件'!$B$27</f>
        <v/>
      </c>
      <c r="H13" s="15">
        <f>-'前提条件'!$B$28</f>
        <v/>
      </c>
      <c r="I13" s="15">
        <f>-IF(A13='前提条件'!$B$29,'前提条件'!$C$29,0)-IF(A13='前提条件'!$B$30,'前提条件'!$C$30,0)</f>
        <v/>
      </c>
      <c r="J13" s="15">
        <f>SUM(E13:I13)</f>
        <v/>
      </c>
      <c r="K13" s="15">
        <f>D13+J13</f>
        <v/>
      </c>
      <c r="L13" s="15">
        <f>-IF(A13&lt;='前提条件'!$B$14,'前提条件'!$B$15,0)</f>
        <v/>
      </c>
      <c r="M13" s="15">
        <f>IF(OR(A13&gt;'前提条件'!$B$14,'前提条件'!$B$12&lt;=0,'前提条件'!$B$13&lt;=0),0,CUMIPMT('前提条件'!$B$13/12,'前提条件'!$B$14*12,'前提条件'!$B$12,(A13-1)*12+1,A13*12,0))</f>
        <v/>
      </c>
      <c r="N13" s="15">
        <f>K13+L13</f>
        <v/>
      </c>
      <c r="O13" s="15">
        <f>IF(A13&lt;=22,'前提条件'!$B$33*'前提条件'!$B$34,0)</f>
        <v/>
      </c>
      <c r="P13" s="15">
        <f>K13+M13-O13</f>
        <v/>
      </c>
      <c r="Q13" s="15">
        <f>-MAX(0,P13*'前提条件'!$B$35)</f>
        <v/>
      </c>
      <c r="R13" s="15">
        <f>N13+Q13</f>
        <v/>
      </c>
      <c r="S13" s="15">
        <f>S12+R13</f>
        <v/>
      </c>
    </row>
    <row r="14">
      <c r="A14" s="14" t="n">
        <v>11</v>
      </c>
      <c r="B14" s="15">
        <f>'前提条件'!$B$19*(1-'前提条件'!$B$22)^(A14-1)</f>
        <v/>
      </c>
      <c r="C14" s="15">
        <f>-B14*IF(A14&gt;=16,'前提条件'!$B$21,'前提条件'!$B$20)</f>
        <v/>
      </c>
      <c r="D14" s="15">
        <f>B14+C14</f>
        <v/>
      </c>
      <c r="E14" s="15">
        <f>-D14*'前提条件'!$B$25</f>
        <v/>
      </c>
      <c r="F14" s="15">
        <f>-'前提条件'!$B$26</f>
        <v/>
      </c>
      <c r="G14" s="15">
        <f>-'前提条件'!$B$27</f>
        <v/>
      </c>
      <c r="H14" s="15">
        <f>-'前提条件'!$B$28</f>
        <v/>
      </c>
      <c r="I14" s="15">
        <f>-IF(A14='前提条件'!$B$29,'前提条件'!$C$29,0)-IF(A14='前提条件'!$B$30,'前提条件'!$C$30,0)</f>
        <v/>
      </c>
      <c r="J14" s="15">
        <f>SUM(E14:I14)</f>
        <v/>
      </c>
      <c r="K14" s="15">
        <f>D14+J14</f>
        <v/>
      </c>
      <c r="L14" s="15">
        <f>-IF(A14&lt;='前提条件'!$B$14,'前提条件'!$B$15,0)</f>
        <v/>
      </c>
      <c r="M14" s="15">
        <f>IF(OR(A14&gt;'前提条件'!$B$14,'前提条件'!$B$12&lt;=0,'前提条件'!$B$13&lt;=0),0,CUMIPMT('前提条件'!$B$13/12,'前提条件'!$B$14*12,'前提条件'!$B$12,(A14-1)*12+1,A14*12,0))</f>
        <v/>
      </c>
      <c r="N14" s="15">
        <f>K14+L14</f>
        <v/>
      </c>
      <c r="O14" s="15">
        <f>IF(A14&lt;=22,'前提条件'!$B$33*'前提条件'!$B$34,0)</f>
        <v/>
      </c>
      <c r="P14" s="15">
        <f>K14+M14-O14</f>
        <v/>
      </c>
      <c r="Q14" s="15">
        <f>-MAX(0,P14*'前提条件'!$B$35)</f>
        <v/>
      </c>
      <c r="R14" s="15">
        <f>N14+Q14</f>
        <v/>
      </c>
      <c r="S14" s="15">
        <f>S13+R14</f>
        <v/>
      </c>
    </row>
    <row r="15">
      <c r="A15" s="14" t="n">
        <v>12</v>
      </c>
      <c r="B15" s="15">
        <f>'前提条件'!$B$19*(1-'前提条件'!$B$22)^(A15-1)</f>
        <v/>
      </c>
      <c r="C15" s="15">
        <f>-B15*IF(A15&gt;=16,'前提条件'!$B$21,'前提条件'!$B$20)</f>
        <v/>
      </c>
      <c r="D15" s="15">
        <f>B15+C15</f>
        <v/>
      </c>
      <c r="E15" s="15">
        <f>-D15*'前提条件'!$B$25</f>
        <v/>
      </c>
      <c r="F15" s="15">
        <f>-'前提条件'!$B$26</f>
        <v/>
      </c>
      <c r="G15" s="15">
        <f>-'前提条件'!$B$27</f>
        <v/>
      </c>
      <c r="H15" s="15">
        <f>-'前提条件'!$B$28</f>
        <v/>
      </c>
      <c r="I15" s="15">
        <f>-IF(A15='前提条件'!$B$29,'前提条件'!$C$29,0)-IF(A15='前提条件'!$B$30,'前提条件'!$C$30,0)</f>
        <v/>
      </c>
      <c r="J15" s="15">
        <f>SUM(E15:I15)</f>
        <v/>
      </c>
      <c r="K15" s="15">
        <f>D15+J15</f>
        <v/>
      </c>
      <c r="L15" s="15">
        <f>-IF(A15&lt;='前提条件'!$B$14,'前提条件'!$B$15,0)</f>
        <v/>
      </c>
      <c r="M15" s="15">
        <f>IF(OR(A15&gt;'前提条件'!$B$14,'前提条件'!$B$12&lt;=0,'前提条件'!$B$13&lt;=0),0,CUMIPMT('前提条件'!$B$13/12,'前提条件'!$B$14*12,'前提条件'!$B$12,(A15-1)*12+1,A15*12,0))</f>
        <v/>
      </c>
      <c r="N15" s="15">
        <f>K15+L15</f>
        <v/>
      </c>
      <c r="O15" s="15">
        <f>IF(A15&lt;=22,'前提条件'!$B$33*'前提条件'!$B$34,0)</f>
        <v/>
      </c>
      <c r="P15" s="15">
        <f>K15+M15-O15</f>
        <v/>
      </c>
      <c r="Q15" s="15">
        <f>-MAX(0,P15*'前提条件'!$B$35)</f>
        <v/>
      </c>
      <c r="R15" s="15">
        <f>N15+Q15</f>
        <v/>
      </c>
      <c r="S15" s="15">
        <f>S14+R15</f>
        <v/>
      </c>
    </row>
    <row r="16">
      <c r="A16" s="14" t="n">
        <v>13</v>
      </c>
      <c r="B16" s="15">
        <f>'前提条件'!$B$19*(1-'前提条件'!$B$22)^(A16-1)</f>
        <v/>
      </c>
      <c r="C16" s="15">
        <f>-B16*IF(A16&gt;=16,'前提条件'!$B$21,'前提条件'!$B$20)</f>
        <v/>
      </c>
      <c r="D16" s="15">
        <f>B16+C16</f>
        <v/>
      </c>
      <c r="E16" s="15">
        <f>-D16*'前提条件'!$B$25</f>
        <v/>
      </c>
      <c r="F16" s="15">
        <f>-'前提条件'!$B$26</f>
        <v/>
      </c>
      <c r="G16" s="15">
        <f>-'前提条件'!$B$27</f>
        <v/>
      </c>
      <c r="H16" s="15">
        <f>-'前提条件'!$B$28</f>
        <v/>
      </c>
      <c r="I16" s="15">
        <f>-IF(A16='前提条件'!$B$29,'前提条件'!$C$29,0)-IF(A16='前提条件'!$B$30,'前提条件'!$C$30,0)</f>
        <v/>
      </c>
      <c r="J16" s="15">
        <f>SUM(E16:I16)</f>
        <v/>
      </c>
      <c r="K16" s="15">
        <f>D16+J16</f>
        <v/>
      </c>
      <c r="L16" s="15">
        <f>-IF(A16&lt;='前提条件'!$B$14,'前提条件'!$B$15,0)</f>
        <v/>
      </c>
      <c r="M16" s="15">
        <f>IF(OR(A16&gt;'前提条件'!$B$14,'前提条件'!$B$12&lt;=0,'前提条件'!$B$13&lt;=0),0,CUMIPMT('前提条件'!$B$13/12,'前提条件'!$B$14*12,'前提条件'!$B$12,(A16-1)*12+1,A16*12,0))</f>
        <v/>
      </c>
      <c r="N16" s="15">
        <f>K16+L16</f>
        <v/>
      </c>
      <c r="O16" s="15">
        <f>IF(A16&lt;=22,'前提条件'!$B$33*'前提条件'!$B$34,0)</f>
        <v/>
      </c>
      <c r="P16" s="15">
        <f>K16+M16-O16</f>
        <v/>
      </c>
      <c r="Q16" s="15">
        <f>-MAX(0,P16*'前提条件'!$B$35)</f>
        <v/>
      </c>
      <c r="R16" s="15">
        <f>N16+Q16</f>
        <v/>
      </c>
      <c r="S16" s="15">
        <f>S15+R16</f>
        <v/>
      </c>
    </row>
    <row r="17">
      <c r="A17" s="14" t="n">
        <v>14</v>
      </c>
      <c r="B17" s="15">
        <f>'前提条件'!$B$19*(1-'前提条件'!$B$22)^(A17-1)</f>
        <v/>
      </c>
      <c r="C17" s="15">
        <f>-B17*IF(A17&gt;=16,'前提条件'!$B$21,'前提条件'!$B$20)</f>
        <v/>
      </c>
      <c r="D17" s="15">
        <f>B17+C17</f>
        <v/>
      </c>
      <c r="E17" s="15">
        <f>-D17*'前提条件'!$B$25</f>
        <v/>
      </c>
      <c r="F17" s="15">
        <f>-'前提条件'!$B$26</f>
        <v/>
      </c>
      <c r="G17" s="15">
        <f>-'前提条件'!$B$27</f>
        <v/>
      </c>
      <c r="H17" s="15">
        <f>-'前提条件'!$B$28</f>
        <v/>
      </c>
      <c r="I17" s="15">
        <f>-IF(A17='前提条件'!$B$29,'前提条件'!$C$29,0)-IF(A17='前提条件'!$B$30,'前提条件'!$C$30,0)</f>
        <v/>
      </c>
      <c r="J17" s="15">
        <f>SUM(E17:I17)</f>
        <v/>
      </c>
      <c r="K17" s="15">
        <f>D17+J17</f>
        <v/>
      </c>
      <c r="L17" s="15">
        <f>-IF(A17&lt;='前提条件'!$B$14,'前提条件'!$B$15,0)</f>
        <v/>
      </c>
      <c r="M17" s="15">
        <f>IF(OR(A17&gt;'前提条件'!$B$14,'前提条件'!$B$12&lt;=0,'前提条件'!$B$13&lt;=0),0,CUMIPMT('前提条件'!$B$13/12,'前提条件'!$B$14*12,'前提条件'!$B$12,(A17-1)*12+1,A17*12,0))</f>
        <v/>
      </c>
      <c r="N17" s="15">
        <f>K17+L17</f>
        <v/>
      </c>
      <c r="O17" s="15">
        <f>IF(A17&lt;=22,'前提条件'!$B$33*'前提条件'!$B$34,0)</f>
        <v/>
      </c>
      <c r="P17" s="15">
        <f>K17+M17-O17</f>
        <v/>
      </c>
      <c r="Q17" s="15">
        <f>-MAX(0,P17*'前提条件'!$B$35)</f>
        <v/>
      </c>
      <c r="R17" s="15">
        <f>N17+Q17</f>
        <v/>
      </c>
      <c r="S17" s="15">
        <f>S16+R17</f>
        <v/>
      </c>
    </row>
    <row r="18">
      <c r="A18" s="14" t="n">
        <v>15</v>
      </c>
      <c r="B18" s="15">
        <f>'前提条件'!$B$19*(1-'前提条件'!$B$22)^(A18-1)</f>
        <v/>
      </c>
      <c r="C18" s="15">
        <f>-B18*IF(A18&gt;=16,'前提条件'!$B$21,'前提条件'!$B$20)</f>
        <v/>
      </c>
      <c r="D18" s="15">
        <f>B18+C18</f>
        <v/>
      </c>
      <c r="E18" s="15">
        <f>-D18*'前提条件'!$B$25</f>
        <v/>
      </c>
      <c r="F18" s="15">
        <f>-'前提条件'!$B$26</f>
        <v/>
      </c>
      <c r="G18" s="15">
        <f>-'前提条件'!$B$27</f>
        <v/>
      </c>
      <c r="H18" s="15">
        <f>-'前提条件'!$B$28</f>
        <v/>
      </c>
      <c r="I18" s="15">
        <f>-IF(A18='前提条件'!$B$29,'前提条件'!$C$29,0)-IF(A18='前提条件'!$B$30,'前提条件'!$C$30,0)</f>
        <v/>
      </c>
      <c r="J18" s="15">
        <f>SUM(E18:I18)</f>
        <v/>
      </c>
      <c r="K18" s="15">
        <f>D18+J18</f>
        <v/>
      </c>
      <c r="L18" s="15">
        <f>-IF(A18&lt;='前提条件'!$B$14,'前提条件'!$B$15,0)</f>
        <v/>
      </c>
      <c r="M18" s="15">
        <f>IF(OR(A18&gt;'前提条件'!$B$14,'前提条件'!$B$12&lt;=0,'前提条件'!$B$13&lt;=0),0,CUMIPMT('前提条件'!$B$13/12,'前提条件'!$B$14*12,'前提条件'!$B$12,(A18-1)*12+1,A18*12,0))</f>
        <v/>
      </c>
      <c r="N18" s="15">
        <f>K18+L18</f>
        <v/>
      </c>
      <c r="O18" s="15">
        <f>IF(A18&lt;=22,'前提条件'!$B$33*'前提条件'!$B$34,0)</f>
        <v/>
      </c>
      <c r="P18" s="15">
        <f>K18+M18-O18</f>
        <v/>
      </c>
      <c r="Q18" s="15">
        <f>-MAX(0,P18*'前提条件'!$B$35)</f>
        <v/>
      </c>
      <c r="R18" s="15">
        <f>N18+Q18</f>
        <v/>
      </c>
      <c r="S18" s="15">
        <f>S17+R18</f>
        <v/>
      </c>
    </row>
    <row r="19">
      <c r="A19" s="14" t="n">
        <v>16</v>
      </c>
      <c r="B19" s="15">
        <f>'前提条件'!$B$19*(1-'前提条件'!$B$22)^(A19-1)</f>
        <v/>
      </c>
      <c r="C19" s="15">
        <f>-B19*IF(A19&gt;=16,'前提条件'!$B$21,'前提条件'!$B$20)</f>
        <v/>
      </c>
      <c r="D19" s="15">
        <f>B19+C19</f>
        <v/>
      </c>
      <c r="E19" s="15">
        <f>-D19*'前提条件'!$B$25</f>
        <v/>
      </c>
      <c r="F19" s="15">
        <f>-'前提条件'!$B$26</f>
        <v/>
      </c>
      <c r="G19" s="15">
        <f>-'前提条件'!$B$27</f>
        <v/>
      </c>
      <c r="H19" s="15">
        <f>-'前提条件'!$B$28</f>
        <v/>
      </c>
      <c r="I19" s="15">
        <f>-IF(A19='前提条件'!$B$29,'前提条件'!$C$29,0)-IF(A19='前提条件'!$B$30,'前提条件'!$C$30,0)</f>
        <v/>
      </c>
      <c r="J19" s="15">
        <f>SUM(E19:I19)</f>
        <v/>
      </c>
      <c r="K19" s="15">
        <f>D19+J19</f>
        <v/>
      </c>
      <c r="L19" s="15">
        <f>-IF(A19&lt;='前提条件'!$B$14,'前提条件'!$B$15,0)</f>
        <v/>
      </c>
      <c r="M19" s="15">
        <f>IF(OR(A19&gt;'前提条件'!$B$14,'前提条件'!$B$12&lt;=0,'前提条件'!$B$13&lt;=0),0,CUMIPMT('前提条件'!$B$13/12,'前提条件'!$B$14*12,'前提条件'!$B$12,(A19-1)*12+1,A19*12,0))</f>
        <v/>
      </c>
      <c r="N19" s="15">
        <f>K19+L19</f>
        <v/>
      </c>
      <c r="O19" s="15">
        <f>IF(A19&lt;=22,'前提条件'!$B$33*'前提条件'!$B$34,0)</f>
        <v/>
      </c>
      <c r="P19" s="15">
        <f>K19+M19-O19</f>
        <v/>
      </c>
      <c r="Q19" s="15">
        <f>-MAX(0,P19*'前提条件'!$B$35)</f>
        <v/>
      </c>
      <c r="R19" s="15">
        <f>N19+Q19</f>
        <v/>
      </c>
      <c r="S19" s="15">
        <f>S18+R19</f>
        <v/>
      </c>
    </row>
    <row r="20">
      <c r="A20" s="14" t="n">
        <v>17</v>
      </c>
      <c r="B20" s="15">
        <f>'前提条件'!$B$19*(1-'前提条件'!$B$22)^(A20-1)</f>
        <v/>
      </c>
      <c r="C20" s="15">
        <f>-B20*IF(A20&gt;=16,'前提条件'!$B$21,'前提条件'!$B$20)</f>
        <v/>
      </c>
      <c r="D20" s="15">
        <f>B20+C20</f>
        <v/>
      </c>
      <c r="E20" s="15">
        <f>-D20*'前提条件'!$B$25</f>
        <v/>
      </c>
      <c r="F20" s="15">
        <f>-'前提条件'!$B$26</f>
        <v/>
      </c>
      <c r="G20" s="15">
        <f>-'前提条件'!$B$27</f>
        <v/>
      </c>
      <c r="H20" s="15">
        <f>-'前提条件'!$B$28</f>
        <v/>
      </c>
      <c r="I20" s="15">
        <f>-IF(A20='前提条件'!$B$29,'前提条件'!$C$29,0)-IF(A20='前提条件'!$B$30,'前提条件'!$C$30,0)</f>
        <v/>
      </c>
      <c r="J20" s="15">
        <f>SUM(E20:I20)</f>
        <v/>
      </c>
      <c r="K20" s="15">
        <f>D20+J20</f>
        <v/>
      </c>
      <c r="L20" s="15">
        <f>-IF(A20&lt;='前提条件'!$B$14,'前提条件'!$B$15,0)</f>
        <v/>
      </c>
      <c r="M20" s="15">
        <f>IF(OR(A20&gt;'前提条件'!$B$14,'前提条件'!$B$12&lt;=0,'前提条件'!$B$13&lt;=0),0,CUMIPMT('前提条件'!$B$13/12,'前提条件'!$B$14*12,'前提条件'!$B$12,(A20-1)*12+1,A20*12,0))</f>
        <v/>
      </c>
      <c r="N20" s="15">
        <f>K20+L20</f>
        <v/>
      </c>
      <c r="O20" s="15">
        <f>IF(A20&lt;=22,'前提条件'!$B$33*'前提条件'!$B$34,0)</f>
        <v/>
      </c>
      <c r="P20" s="15">
        <f>K20+M20-O20</f>
        <v/>
      </c>
      <c r="Q20" s="15">
        <f>-MAX(0,P20*'前提条件'!$B$35)</f>
        <v/>
      </c>
      <c r="R20" s="15">
        <f>N20+Q20</f>
        <v/>
      </c>
      <c r="S20" s="15">
        <f>S19+R20</f>
        <v/>
      </c>
    </row>
    <row r="21">
      <c r="A21" s="14" t="n">
        <v>18</v>
      </c>
      <c r="B21" s="15">
        <f>'前提条件'!$B$19*(1-'前提条件'!$B$22)^(A21-1)</f>
        <v/>
      </c>
      <c r="C21" s="15">
        <f>-B21*IF(A21&gt;=16,'前提条件'!$B$21,'前提条件'!$B$20)</f>
        <v/>
      </c>
      <c r="D21" s="15">
        <f>B21+C21</f>
        <v/>
      </c>
      <c r="E21" s="15">
        <f>-D21*'前提条件'!$B$25</f>
        <v/>
      </c>
      <c r="F21" s="15">
        <f>-'前提条件'!$B$26</f>
        <v/>
      </c>
      <c r="G21" s="15">
        <f>-'前提条件'!$B$27</f>
        <v/>
      </c>
      <c r="H21" s="15">
        <f>-'前提条件'!$B$28</f>
        <v/>
      </c>
      <c r="I21" s="15">
        <f>-IF(A21='前提条件'!$B$29,'前提条件'!$C$29,0)-IF(A21='前提条件'!$B$30,'前提条件'!$C$30,0)</f>
        <v/>
      </c>
      <c r="J21" s="15">
        <f>SUM(E21:I21)</f>
        <v/>
      </c>
      <c r="K21" s="15">
        <f>D21+J21</f>
        <v/>
      </c>
      <c r="L21" s="15">
        <f>-IF(A21&lt;='前提条件'!$B$14,'前提条件'!$B$15,0)</f>
        <v/>
      </c>
      <c r="M21" s="15">
        <f>IF(OR(A21&gt;'前提条件'!$B$14,'前提条件'!$B$12&lt;=0,'前提条件'!$B$13&lt;=0),0,CUMIPMT('前提条件'!$B$13/12,'前提条件'!$B$14*12,'前提条件'!$B$12,(A21-1)*12+1,A21*12,0))</f>
        <v/>
      </c>
      <c r="N21" s="15">
        <f>K21+L21</f>
        <v/>
      </c>
      <c r="O21" s="15">
        <f>IF(A21&lt;=22,'前提条件'!$B$33*'前提条件'!$B$34,0)</f>
        <v/>
      </c>
      <c r="P21" s="15">
        <f>K21+M21-O21</f>
        <v/>
      </c>
      <c r="Q21" s="15">
        <f>-MAX(0,P21*'前提条件'!$B$35)</f>
        <v/>
      </c>
      <c r="R21" s="15">
        <f>N21+Q21</f>
        <v/>
      </c>
      <c r="S21" s="15">
        <f>S20+R21</f>
        <v/>
      </c>
    </row>
    <row r="22">
      <c r="A22" s="14" t="n">
        <v>19</v>
      </c>
      <c r="B22" s="15">
        <f>'前提条件'!$B$19*(1-'前提条件'!$B$22)^(A22-1)</f>
        <v/>
      </c>
      <c r="C22" s="15">
        <f>-B22*IF(A22&gt;=16,'前提条件'!$B$21,'前提条件'!$B$20)</f>
        <v/>
      </c>
      <c r="D22" s="15">
        <f>B22+C22</f>
        <v/>
      </c>
      <c r="E22" s="15">
        <f>-D22*'前提条件'!$B$25</f>
        <v/>
      </c>
      <c r="F22" s="15">
        <f>-'前提条件'!$B$26</f>
        <v/>
      </c>
      <c r="G22" s="15">
        <f>-'前提条件'!$B$27</f>
        <v/>
      </c>
      <c r="H22" s="15">
        <f>-'前提条件'!$B$28</f>
        <v/>
      </c>
      <c r="I22" s="15">
        <f>-IF(A22='前提条件'!$B$29,'前提条件'!$C$29,0)-IF(A22='前提条件'!$B$30,'前提条件'!$C$30,0)</f>
        <v/>
      </c>
      <c r="J22" s="15">
        <f>SUM(E22:I22)</f>
        <v/>
      </c>
      <c r="K22" s="15">
        <f>D22+J22</f>
        <v/>
      </c>
      <c r="L22" s="15">
        <f>-IF(A22&lt;='前提条件'!$B$14,'前提条件'!$B$15,0)</f>
        <v/>
      </c>
      <c r="M22" s="15">
        <f>IF(OR(A22&gt;'前提条件'!$B$14,'前提条件'!$B$12&lt;=0,'前提条件'!$B$13&lt;=0),0,CUMIPMT('前提条件'!$B$13/12,'前提条件'!$B$14*12,'前提条件'!$B$12,(A22-1)*12+1,A22*12,0))</f>
        <v/>
      </c>
      <c r="N22" s="15">
        <f>K22+L22</f>
        <v/>
      </c>
      <c r="O22" s="15">
        <f>IF(A22&lt;=22,'前提条件'!$B$33*'前提条件'!$B$34,0)</f>
        <v/>
      </c>
      <c r="P22" s="15">
        <f>K22+M22-O22</f>
        <v/>
      </c>
      <c r="Q22" s="15">
        <f>-MAX(0,P22*'前提条件'!$B$35)</f>
        <v/>
      </c>
      <c r="R22" s="15">
        <f>N22+Q22</f>
        <v/>
      </c>
      <c r="S22" s="15">
        <f>S21+R22</f>
        <v/>
      </c>
    </row>
    <row r="23">
      <c r="A23" s="14" t="n">
        <v>20</v>
      </c>
      <c r="B23" s="15">
        <f>'前提条件'!$B$19*(1-'前提条件'!$B$22)^(A23-1)</f>
        <v/>
      </c>
      <c r="C23" s="15">
        <f>-B23*IF(A23&gt;=16,'前提条件'!$B$21,'前提条件'!$B$20)</f>
        <v/>
      </c>
      <c r="D23" s="15">
        <f>B23+C23</f>
        <v/>
      </c>
      <c r="E23" s="15">
        <f>-D23*'前提条件'!$B$25</f>
        <v/>
      </c>
      <c r="F23" s="15">
        <f>-'前提条件'!$B$26</f>
        <v/>
      </c>
      <c r="G23" s="15">
        <f>-'前提条件'!$B$27</f>
        <v/>
      </c>
      <c r="H23" s="15">
        <f>-'前提条件'!$B$28</f>
        <v/>
      </c>
      <c r="I23" s="15">
        <f>-IF(A23='前提条件'!$B$29,'前提条件'!$C$29,0)-IF(A23='前提条件'!$B$30,'前提条件'!$C$30,0)</f>
        <v/>
      </c>
      <c r="J23" s="15">
        <f>SUM(E23:I23)</f>
        <v/>
      </c>
      <c r="K23" s="15">
        <f>D23+J23</f>
        <v/>
      </c>
      <c r="L23" s="15">
        <f>-IF(A23&lt;='前提条件'!$B$14,'前提条件'!$B$15,0)</f>
        <v/>
      </c>
      <c r="M23" s="15">
        <f>IF(OR(A23&gt;'前提条件'!$B$14,'前提条件'!$B$12&lt;=0,'前提条件'!$B$13&lt;=0),0,CUMIPMT('前提条件'!$B$13/12,'前提条件'!$B$14*12,'前提条件'!$B$12,(A23-1)*12+1,A23*12,0))</f>
        <v/>
      </c>
      <c r="N23" s="15">
        <f>K23+L23</f>
        <v/>
      </c>
      <c r="O23" s="15">
        <f>IF(A23&lt;=22,'前提条件'!$B$33*'前提条件'!$B$34,0)</f>
        <v/>
      </c>
      <c r="P23" s="15">
        <f>K23+M23-O23</f>
        <v/>
      </c>
      <c r="Q23" s="15">
        <f>-MAX(0,P23*'前提条件'!$B$35)</f>
        <v/>
      </c>
      <c r="R23" s="15">
        <f>N23+Q23</f>
        <v/>
      </c>
      <c r="S23" s="15">
        <f>S22+R23</f>
        <v/>
      </c>
    </row>
    <row r="24">
      <c r="A24" s="14" t="n">
        <v>21</v>
      </c>
      <c r="B24" s="15">
        <f>'前提条件'!$B$19*(1-'前提条件'!$B$22)^(A24-1)</f>
        <v/>
      </c>
      <c r="C24" s="15">
        <f>-B24*IF(A24&gt;=16,'前提条件'!$B$21,'前提条件'!$B$20)</f>
        <v/>
      </c>
      <c r="D24" s="15">
        <f>B24+C24</f>
        <v/>
      </c>
      <c r="E24" s="15">
        <f>-D24*'前提条件'!$B$25</f>
        <v/>
      </c>
      <c r="F24" s="15">
        <f>-'前提条件'!$B$26</f>
        <v/>
      </c>
      <c r="G24" s="15">
        <f>-'前提条件'!$B$27</f>
        <v/>
      </c>
      <c r="H24" s="15">
        <f>-'前提条件'!$B$28</f>
        <v/>
      </c>
      <c r="I24" s="15">
        <f>-IF(A24='前提条件'!$B$29,'前提条件'!$C$29,0)-IF(A24='前提条件'!$B$30,'前提条件'!$C$30,0)</f>
        <v/>
      </c>
      <c r="J24" s="15">
        <f>SUM(E24:I24)</f>
        <v/>
      </c>
      <c r="K24" s="15">
        <f>D24+J24</f>
        <v/>
      </c>
      <c r="L24" s="15">
        <f>-IF(A24&lt;='前提条件'!$B$14,'前提条件'!$B$15,0)</f>
        <v/>
      </c>
      <c r="M24" s="15">
        <f>IF(OR(A24&gt;'前提条件'!$B$14,'前提条件'!$B$12&lt;=0,'前提条件'!$B$13&lt;=0),0,CUMIPMT('前提条件'!$B$13/12,'前提条件'!$B$14*12,'前提条件'!$B$12,(A24-1)*12+1,A24*12,0))</f>
        <v/>
      </c>
      <c r="N24" s="15">
        <f>K24+L24</f>
        <v/>
      </c>
      <c r="O24" s="15">
        <f>IF(A24&lt;=22,'前提条件'!$B$33*'前提条件'!$B$34,0)</f>
        <v/>
      </c>
      <c r="P24" s="15">
        <f>K24+M24-O24</f>
        <v/>
      </c>
      <c r="Q24" s="15">
        <f>-MAX(0,P24*'前提条件'!$B$35)</f>
        <v/>
      </c>
      <c r="R24" s="15">
        <f>N24+Q24</f>
        <v/>
      </c>
      <c r="S24" s="15">
        <f>S23+R24</f>
        <v/>
      </c>
    </row>
    <row r="25">
      <c r="A25" s="14" t="n">
        <v>22</v>
      </c>
      <c r="B25" s="15">
        <f>'前提条件'!$B$19*(1-'前提条件'!$B$22)^(A25-1)</f>
        <v/>
      </c>
      <c r="C25" s="15">
        <f>-B25*IF(A25&gt;=16,'前提条件'!$B$21,'前提条件'!$B$20)</f>
        <v/>
      </c>
      <c r="D25" s="15">
        <f>B25+C25</f>
        <v/>
      </c>
      <c r="E25" s="15">
        <f>-D25*'前提条件'!$B$25</f>
        <v/>
      </c>
      <c r="F25" s="15">
        <f>-'前提条件'!$B$26</f>
        <v/>
      </c>
      <c r="G25" s="15">
        <f>-'前提条件'!$B$27</f>
        <v/>
      </c>
      <c r="H25" s="15">
        <f>-'前提条件'!$B$28</f>
        <v/>
      </c>
      <c r="I25" s="15">
        <f>-IF(A25='前提条件'!$B$29,'前提条件'!$C$29,0)-IF(A25='前提条件'!$B$30,'前提条件'!$C$30,0)</f>
        <v/>
      </c>
      <c r="J25" s="15">
        <f>SUM(E25:I25)</f>
        <v/>
      </c>
      <c r="K25" s="15">
        <f>D25+J25</f>
        <v/>
      </c>
      <c r="L25" s="15">
        <f>-IF(A25&lt;='前提条件'!$B$14,'前提条件'!$B$15,0)</f>
        <v/>
      </c>
      <c r="M25" s="15">
        <f>IF(OR(A25&gt;'前提条件'!$B$14,'前提条件'!$B$12&lt;=0,'前提条件'!$B$13&lt;=0),0,CUMIPMT('前提条件'!$B$13/12,'前提条件'!$B$14*12,'前提条件'!$B$12,(A25-1)*12+1,A25*12,0))</f>
        <v/>
      </c>
      <c r="N25" s="15">
        <f>K25+L25</f>
        <v/>
      </c>
      <c r="O25" s="15">
        <f>IF(A25&lt;=22,'前提条件'!$B$33*'前提条件'!$B$34,0)</f>
        <v/>
      </c>
      <c r="P25" s="15">
        <f>K25+M25-O25</f>
        <v/>
      </c>
      <c r="Q25" s="15">
        <f>-MAX(0,P25*'前提条件'!$B$35)</f>
        <v/>
      </c>
      <c r="R25" s="15">
        <f>N25+Q25</f>
        <v/>
      </c>
      <c r="S25" s="15">
        <f>S24+R25</f>
        <v/>
      </c>
    </row>
    <row r="26">
      <c r="A26" s="14" t="n">
        <v>23</v>
      </c>
      <c r="B26" s="15">
        <f>'前提条件'!$B$19*(1-'前提条件'!$B$22)^(A26-1)</f>
        <v/>
      </c>
      <c r="C26" s="15">
        <f>-B26*IF(A26&gt;=16,'前提条件'!$B$21,'前提条件'!$B$20)</f>
        <v/>
      </c>
      <c r="D26" s="15">
        <f>B26+C26</f>
        <v/>
      </c>
      <c r="E26" s="15">
        <f>-D26*'前提条件'!$B$25</f>
        <v/>
      </c>
      <c r="F26" s="15">
        <f>-'前提条件'!$B$26</f>
        <v/>
      </c>
      <c r="G26" s="15">
        <f>-'前提条件'!$B$27</f>
        <v/>
      </c>
      <c r="H26" s="15">
        <f>-'前提条件'!$B$28</f>
        <v/>
      </c>
      <c r="I26" s="15">
        <f>-IF(A26='前提条件'!$B$29,'前提条件'!$C$29,0)-IF(A26='前提条件'!$B$30,'前提条件'!$C$30,0)</f>
        <v/>
      </c>
      <c r="J26" s="15">
        <f>SUM(E26:I26)</f>
        <v/>
      </c>
      <c r="K26" s="15">
        <f>D26+J26</f>
        <v/>
      </c>
      <c r="L26" s="15">
        <f>-IF(A26&lt;='前提条件'!$B$14,'前提条件'!$B$15,0)</f>
        <v/>
      </c>
      <c r="M26" s="15">
        <f>IF(OR(A26&gt;'前提条件'!$B$14,'前提条件'!$B$12&lt;=0,'前提条件'!$B$13&lt;=0),0,CUMIPMT('前提条件'!$B$13/12,'前提条件'!$B$14*12,'前提条件'!$B$12,(A26-1)*12+1,A26*12,0))</f>
        <v/>
      </c>
      <c r="N26" s="15">
        <f>K26+L26</f>
        <v/>
      </c>
      <c r="O26" s="15">
        <f>IF(A26&lt;=22,'前提条件'!$B$33*'前提条件'!$B$34,0)</f>
        <v/>
      </c>
      <c r="P26" s="15">
        <f>K26+M26-O26</f>
        <v/>
      </c>
      <c r="Q26" s="15">
        <f>-MAX(0,P26*'前提条件'!$B$35)</f>
        <v/>
      </c>
      <c r="R26" s="15">
        <f>N26+Q26</f>
        <v/>
      </c>
      <c r="S26" s="15">
        <f>S25+R26</f>
        <v/>
      </c>
    </row>
    <row r="27">
      <c r="A27" s="14" t="n">
        <v>24</v>
      </c>
      <c r="B27" s="15">
        <f>'前提条件'!$B$19*(1-'前提条件'!$B$22)^(A27-1)</f>
        <v/>
      </c>
      <c r="C27" s="15">
        <f>-B27*IF(A27&gt;=16,'前提条件'!$B$21,'前提条件'!$B$20)</f>
        <v/>
      </c>
      <c r="D27" s="15">
        <f>B27+C27</f>
        <v/>
      </c>
      <c r="E27" s="15">
        <f>-D27*'前提条件'!$B$25</f>
        <v/>
      </c>
      <c r="F27" s="15">
        <f>-'前提条件'!$B$26</f>
        <v/>
      </c>
      <c r="G27" s="15">
        <f>-'前提条件'!$B$27</f>
        <v/>
      </c>
      <c r="H27" s="15">
        <f>-'前提条件'!$B$28</f>
        <v/>
      </c>
      <c r="I27" s="15">
        <f>-IF(A27='前提条件'!$B$29,'前提条件'!$C$29,0)-IF(A27='前提条件'!$B$30,'前提条件'!$C$30,0)</f>
        <v/>
      </c>
      <c r="J27" s="15">
        <f>SUM(E27:I27)</f>
        <v/>
      </c>
      <c r="K27" s="15">
        <f>D27+J27</f>
        <v/>
      </c>
      <c r="L27" s="15">
        <f>-IF(A27&lt;='前提条件'!$B$14,'前提条件'!$B$15,0)</f>
        <v/>
      </c>
      <c r="M27" s="15">
        <f>IF(OR(A27&gt;'前提条件'!$B$14,'前提条件'!$B$12&lt;=0,'前提条件'!$B$13&lt;=0),0,CUMIPMT('前提条件'!$B$13/12,'前提条件'!$B$14*12,'前提条件'!$B$12,(A27-1)*12+1,A27*12,0))</f>
        <v/>
      </c>
      <c r="N27" s="15">
        <f>K27+L27</f>
        <v/>
      </c>
      <c r="O27" s="15">
        <f>IF(A27&lt;=22,'前提条件'!$B$33*'前提条件'!$B$34,0)</f>
        <v/>
      </c>
      <c r="P27" s="15">
        <f>K27+M27-O27</f>
        <v/>
      </c>
      <c r="Q27" s="15">
        <f>-MAX(0,P27*'前提条件'!$B$35)</f>
        <v/>
      </c>
      <c r="R27" s="15">
        <f>N27+Q27</f>
        <v/>
      </c>
      <c r="S27" s="15">
        <f>S26+R27</f>
        <v/>
      </c>
    </row>
    <row r="28">
      <c r="A28" s="14" t="n">
        <v>25</v>
      </c>
      <c r="B28" s="15">
        <f>'前提条件'!$B$19*(1-'前提条件'!$B$22)^(A28-1)</f>
        <v/>
      </c>
      <c r="C28" s="15">
        <f>-B28*IF(A28&gt;=16,'前提条件'!$B$21,'前提条件'!$B$20)</f>
        <v/>
      </c>
      <c r="D28" s="15">
        <f>B28+C28</f>
        <v/>
      </c>
      <c r="E28" s="15">
        <f>-D28*'前提条件'!$B$25</f>
        <v/>
      </c>
      <c r="F28" s="15">
        <f>-'前提条件'!$B$26</f>
        <v/>
      </c>
      <c r="G28" s="15">
        <f>-'前提条件'!$B$27</f>
        <v/>
      </c>
      <c r="H28" s="15">
        <f>-'前提条件'!$B$28</f>
        <v/>
      </c>
      <c r="I28" s="15">
        <f>-IF(A28='前提条件'!$B$29,'前提条件'!$C$29,0)-IF(A28='前提条件'!$B$30,'前提条件'!$C$30,0)</f>
        <v/>
      </c>
      <c r="J28" s="15">
        <f>SUM(E28:I28)</f>
        <v/>
      </c>
      <c r="K28" s="15">
        <f>D28+J28</f>
        <v/>
      </c>
      <c r="L28" s="15">
        <f>-IF(A28&lt;='前提条件'!$B$14,'前提条件'!$B$15,0)</f>
        <v/>
      </c>
      <c r="M28" s="15">
        <f>IF(OR(A28&gt;'前提条件'!$B$14,'前提条件'!$B$12&lt;=0,'前提条件'!$B$13&lt;=0),0,CUMIPMT('前提条件'!$B$13/12,'前提条件'!$B$14*12,'前提条件'!$B$12,(A28-1)*12+1,A28*12,0))</f>
        <v/>
      </c>
      <c r="N28" s="15">
        <f>K28+L28</f>
        <v/>
      </c>
      <c r="O28" s="15">
        <f>IF(A28&lt;=22,'前提条件'!$B$33*'前提条件'!$B$34,0)</f>
        <v/>
      </c>
      <c r="P28" s="15">
        <f>K28+M28-O28</f>
        <v/>
      </c>
      <c r="Q28" s="15">
        <f>-MAX(0,P28*'前提条件'!$B$35)</f>
        <v/>
      </c>
      <c r="R28" s="15">
        <f>N28+Q28</f>
        <v/>
      </c>
      <c r="S28" s="15">
        <f>S27+R28</f>
        <v/>
      </c>
    </row>
    <row r="29">
      <c r="A29" s="14" t="n">
        <v>26</v>
      </c>
      <c r="B29" s="15">
        <f>'前提条件'!$B$19*(1-'前提条件'!$B$22)^(A29-1)</f>
        <v/>
      </c>
      <c r="C29" s="15">
        <f>-B29*IF(A29&gt;=16,'前提条件'!$B$21,'前提条件'!$B$20)</f>
        <v/>
      </c>
      <c r="D29" s="15">
        <f>B29+C29</f>
        <v/>
      </c>
      <c r="E29" s="15">
        <f>-D29*'前提条件'!$B$25</f>
        <v/>
      </c>
      <c r="F29" s="15">
        <f>-'前提条件'!$B$26</f>
        <v/>
      </c>
      <c r="G29" s="15">
        <f>-'前提条件'!$B$27</f>
        <v/>
      </c>
      <c r="H29" s="15">
        <f>-'前提条件'!$B$28</f>
        <v/>
      </c>
      <c r="I29" s="15">
        <f>-IF(A29='前提条件'!$B$29,'前提条件'!$C$29,0)-IF(A29='前提条件'!$B$30,'前提条件'!$C$30,0)</f>
        <v/>
      </c>
      <c r="J29" s="15">
        <f>SUM(E29:I29)</f>
        <v/>
      </c>
      <c r="K29" s="15">
        <f>D29+J29</f>
        <v/>
      </c>
      <c r="L29" s="15">
        <f>-IF(A29&lt;='前提条件'!$B$14,'前提条件'!$B$15,0)</f>
        <v/>
      </c>
      <c r="M29" s="15">
        <f>IF(OR(A29&gt;'前提条件'!$B$14,'前提条件'!$B$12&lt;=0,'前提条件'!$B$13&lt;=0),0,CUMIPMT('前提条件'!$B$13/12,'前提条件'!$B$14*12,'前提条件'!$B$12,(A29-1)*12+1,A29*12,0))</f>
        <v/>
      </c>
      <c r="N29" s="15">
        <f>K29+L29</f>
        <v/>
      </c>
      <c r="O29" s="15">
        <f>IF(A29&lt;=22,'前提条件'!$B$33*'前提条件'!$B$34,0)</f>
        <v/>
      </c>
      <c r="P29" s="15">
        <f>K29+M29-O29</f>
        <v/>
      </c>
      <c r="Q29" s="15">
        <f>-MAX(0,P29*'前提条件'!$B$35)</f>
        <v/>
      </c>
      <c r="R29" s="15">
        <f>N29+Q29</f>
        <v/>
      </c>
      <c r="S29" s="15">
        <f>S28+R29</f>
        <v/>
      </c>
    </row>
    <row r="30">
      <c r="A30" s="14" t="n">
        <v>27</v>
      </c>
      <c r="B30" s="15">
        <f>'前提条件'!$B$19*(1-'前提条件'!$B$22)^(A30-1)</f>
        <v/>
      </c>
      <c r="C30" s="15">
        <f>-B30*IF(A30&gt;=16,'前提条件'!$B$21,'前提条件'!$B$20)</f>
        <v/>
      </c>
      <c r="D30" s="15">
        <f>B30+C30</f>
        <v/>
      </c>
      <c r="E30" s="15">
        <f>-D30*'前提条件'!$B$25</f>
        <v/>
      </c>
      <c r="F30" s="15">
        <f>-'前提条件'!$B$26</f>
        <v/>
      </c>
      <c r="G30" s="15">
        <f>-'前提条件'!$B$27</f>
        <v/>
      </c>
      <c r="H30" s="15">
        <f>-'前提条件'!$B$28</f>
        <v/>
      </c>
      <c r="I30" s="15">
        <f>-IF(A30='前提条件'!$B$29,'前提条件'!$C$29,0)-IF(A30='前提条件'!$B$30,'前提条件'!$C$30,0)</f>
        <v/>
      </c>
      <c r="J30" s="15">
        <f>SUM(E30:I30)</f>
        <v/>
      </c>
      <c r="K30" s="15">
        <f>D30+J30</f>
        <v/>
      </c>
      <c r="L30" s="15">
        <f>-IF(A30&lt;='前提条件'!$B$14,'前提条件'!$B$15,0)</f>
        <v/>
      </c>
      <c r="M30" s="15">
        <f>IF(OR(A30&gt;'前提条件'!$B$14,'前提条件'!$B$12&lt;=0,'前提条件'!$B$13&lt;=0),0,CUMIPMT('前提条件'!$B$13/12,'前提条件'!$B$14*12,'前提条件'!$B$12,(A30-1)*12+1,A30*12,0))</f>
        <v/>
      </c>
      <c r="N30" s="15">
        <f>K30+L30</f>
        <v/>
      </c>
      <c r="O30" s="15">
        <f>IF(A30&lt;=22,'前提条件'!$B$33*'前提条件'!$B$34,0)</f>
        <v/>
      </c>
      <c r="P30" s="15">
        <f>K30+M30-O30</f>
        <v/>
      </c>
      <c r="Q30" s="15">
        <f>-MAX(0,P30*'前提条件'!$B$35)</f>
        <v/>
      </c>
      <c r="R30" s="15">
        <f>N30+Q30</f>
        <v/>
      </c>
      <c r="S30" s="15">
        <f>S29+R30</f>
        <v/>
      </c>
    </row>
    <row r="31">
      <c r="A31" s="14" t="n">
        <v>28</v>
      </c>
      <c r="B31" s="15">
        <f>'前提条件'!$B$19*(1-'前提条件'!$B$22)^(A31-1)</f>
        <v/>
      </c>
      <c r="C31" s="15">
        <f>-B31*IF(A31&gt;=16,'前提条件'!$B$21,'前提条件'!$B$20)</f>
        <v/>
      </c>
      <c r="D31" s="15">
        <f>B31+C31</f>
        <v/>
      </c>
      <c r="E31" s="15">
        <f>-D31*'前提条件'!$B$25</f>
        <v/>
      </c>
      <c r="F31" s="15">
        <f>-'前提条件'!$B$26</f>
        <v/>
      </c>
      <c r="G31" s="15">
        <f>-'前提条件'!$B$27</f>
        <v/>
      </c>
      <c r="H31" s="15">
        <f>-'前提条件'!$B$28</f>
        <v/>
      </c>
      <c r="I31" s="15">
        <f>-IF(A31='前提条件'!$B$29,'前提条件'!$C$29,0)-IF(A31='前提条件'!$B$30,'前提条件'!$C$30,0)</f>
        <v/>
      </c>
      <c r="J31" s="15">
        <f>SUM(E31:I31)</f>
        <v/>
      </c>
      <c r="K31" s="15">
        <f>D31+J31</f>
        <v/>
      </c>
      <c r="L31" s="15">
        <f>-IF(A31&lt;='前提条件'!$B$14,'前提条件'!$B$15,0)</f>
        <v/>
      </c>
      <c r="M31" s="15">
        <f>IF(OR(A31&gt;'前提条件'!$B$14,'前提条件'!$B$12&lt;=0,'前提条件'!$B$13&lt;=0),0,CUMIPMT('前提条件'!$B$13/12,'前提条件'!$B$14*12,'前提条件'!$B$12,(A31-1)*12+1,A31*12,0))</f>
        <v/>
      </c>
      <c r="N31" s="15">
        <f>K31+L31</f>
        <v/>
      </c>
      <c r="O31" s="15">
        <f>IF(A31&lt;=22,'前提条件'!$B$33*'前提条件'!$B$34,0)</f>
        <v/>
      </c>
      <c r="P31" s="15">
        <f>K31+M31-O31</f>
        <v/>
      </c>
      <c r="Q31" s="15">
        <f>-MAX(0,P31*'前提条件'!$B$35)</f>
        <v/>
      </c>
      <c r="R31" s="15">
        <f>N31+Q31</f>
        <v/>
      </c>
      <c r="S31" s="15">
        <f>S30+R31</f>
        <v/>
      </c>
    </row>
    <row r="32">
      <c r="A32" s="14" t="n">
        <v>29</v>
      </c>
      <c r="B32" s="15">
        <f>'前提条件'!$B$19*(1-'前提条件'!$B$22)^(A32-1)</f>
        <v/>
      </c>
      <c r="C32" s="15">
        <f>-B32*IF(A32&gt;=16,'前提条件'!$B$21,'前提条件'!$B$20)</f>
        <v/>
      </c>
      <c r="D32" s="15">
        <f>B32+C32</f>
        <v/>
      </c>
      <c r="E32" s="15">
        <f>-D32*'前提条件'!$B$25</f>
        <v/>
      </c>
      <c r="F32" s="15">
        <f>-'前提条件'!$B$26</f>
        <v/>
      </c>
      <c r="G32" s="15">
        <f>-'前提条件'!$B$27</f>
        <v/>
      </c>
      <c r="H32" s="15">
        <f>-'前提条件'!$B$28</f>
        <v/>
      </c>
      <c r="I32" s="15">
        <f>-IF(A32='前提条件'!$B$29,'前提条件'!$C$29,0)-IF(A32='前提条件'!$B$30,'前提条件'!$C$30,0)</f>
        <v/>
      </c>
      <c r="J32" s="15">
        <f>SUM(E32:I32)</f>
        <v/>
      </c>
      <c r="K32" s="15">
        <f>D32+J32</f>
        <v/>
      </c>
      <c r="L32" s="15">
        <f>-IF(A32&lt;='前提条件'!$B$14,'前提条件'!$B$15,0)</f>
        <v/>
      </c>
      <c r="M32" s="15">
        <f>IF(OR(A32&gt;'前提条件'!$B$14,'前提条件'!$B$12&lt;=0,'前提条件'!$B$13&lt;=0),0,CUMIPMT('前提条件'!$B$13/12,'前提条件'!$B$14*12,'前提条件'!$B$12,(A32-1)*12+1,A32*12,0))</f>
        <v/>
      </c>
      <c r="N32" s="15">
        <f>K32+L32</f>
        <v/>
      </c>
      <c r="O32" s="15">
        <f>IF(A32&lt;=22,'前提条件'!$B$33*'前提条件'!$B$34,0)</f>
        <v/>
      </c>
      <c r="P32" s="15">
        <f>K32+M32-O32</f>
        <v/>
      </c>
      <c r="Q32" s="15">
        <f>-MAX(0,P32*'前提条件'!$B$35)</f>
        <v/>
      </c>
      <c r="R32" s="15">
        <f>N32+Q32</f>
        <v/>
      </c>
      <c r="S32" s="15">
        <f>S31+R32</f>
        <v/>
      </c>
    </row>
    <row r="33">
      <c r="A33" s="14" t="n">
        <v>30</v>
      </c>
      <c r="B33" s="15">
        <f>'前提条件'!$B$19*(1-'前提条件'!$B$22)^(A33-1)</f>
        <v/>
      </c>
      <c r="C33" s="15">
        <f>-B33*IF(A33&gt;=16,'前提条件'!$B$21,'前提条件'!$B$20)</f>
        <v/>
      </c>
      <c r="D33" s="15">
        <f>B33+C33</f>
        <v/>
      </c>
      <c r="E33" s="15">
        <f>-D33*'前提条件'!$B$25</f>
        <v/>
      </c>
      <c r="F33" s="15">
        <f>-'前提条件'!$B$26</f>
        <v/>
      </c>
      <c r="G33" s="15">
        <f>-'前提条件'!$B$27</f>
        <v/>
      </c>
      <c r="H33" s="15">
        <f>-'前提条件'!$B$28</f>
        <v/>
      </c>
      <c r="I33" s="15">
        <f>-IF(A33='前提条件'!$B$29,'前提条件'!$C$29,0)-IF(A33='前提条件'!$B$30,'前提条件'!$C$30,0)</f>
        <v/>
      </c>
      <c r="J33" s="15">
        <f>SUM(E33:I33)</f>
        <v/>
      </c>
      <c r="K33" s="15">
        <f>D33+J33</f>
        <v/>
      </c>
      <c r="L33" s="15">
        <f>-IF(A33&lt;='前提条件'!$B$14,'前提条件'!$B$15,0)</f>
        <v/>
      </c>
      <c r="M33" s="15">
        <f>IF(OR(A33&gt;'前提条件'!$B$14,'前提条件'!$B$12&lt;=0,'前提条件'!$B$13&lt;=0),0,CUMIPMT('前提条件'!$B$13/12,'前提条件'!$B$14*12,'前提条件'!$B$12,(A33-1)*12+1,A33*12,0))</f>
        <v/>
      </c>
      <c r="N33" s="15">
        <f>K33+L33</f>
        <v/>
      </c>
      <c r="O33" s="15">
        <f>IF(A33&lt;=22,'前提条件'!$B$33*'前提条件'!$B$34,0)</f>
        <v/>
      </c>
      <c r="P33" s="15">
        <f>K33+M33-O33</f>
        <v/>
      </c>
      <c r="Q33" s="15">
        <f>-MAX(0,P33*'前提条件'!$B$35)</f>
        <v/>
      </c>
      <c r="R33" s="15">
        <f>N33+Q33</f>
        <v/>
      </c>
      <c r="S33" s="15">
        <f>S32+R33</f>
        <v/>
      </c>
    </row>
    <row r="34">
      <c r="A34" s="16" t="inlineStr">
        <is>
          <t>合計</t>
        </is>
      </c>
      <c r="B34" s="17">
        <f>SUM(B4:B33)</f>
        <v/>
      </c>
      <c r="C34" s="17">
        <f>SUM(C4:C33)</f>
        <v/>
      </c>
      <c r="D34" s="17">
        <f>SUM(D4:D33)</f>
        <v/>
      </c>
      <c r="E34" s="17">
        <f>SUM(E4:E33)</f>
        <v/>
      </c>
      <c r="F34" s="17">
        <f>SUM(F4:F33)</f>
        <v/>
      </c>
      <c r="G34" s="17">
        <f>SUM(G4:G33)</f>
        <v/>
      </c>
      <c r="H34" s="17">
        <f>SUM(H4:H33)</f>
        <v/>
      </c>
      <c r="I34" s="17">
        <f>SUM(I4:I33)</f>
        <v/>
      </c>
      <c r="J34" s="17">
        <f>SUM(J4:J33)</f>
        <v/>
      </c>
      <c r="K34" s="17">
        <f>SUM(K4:K33)</f>
        <v/>
      </c>
      <c r="L34" s="17">
        <f>SUM(L4:L33)</f>
        <v/>
      </c>
      <c r="M34" s="17">
        <f>SUM(M4:M33)</f>
        <v/>
      </c>
      <c r="N34" s="17">
        <f>SUM(N4:N33)</f>
        <v/>
      </c>
      <c r="O34" s="17">
        <f>SUM(O4:O33)</f>
        <v/>
      </c>
      <c r="Q34" s="17">
        <f>SUM(Q4:Q33)</f>
        <v/>
      </c>
      <c r="R34" s="17">
        <f>SUM(R4:R33)</f>
        <v/>
      </c>
      <c r="S34" s="17">
        <f>S33</f>
        <v/>
      </c>
    </row>
    <row r="36">
      <c r="A36" s="2" t="inlineStr">
        <is>
          <t>※ 税金(概算)は不動産所得×適用税率の簡易計算です(青色申告特別控除・損益通算等は未反映)。正式な税額は税理士試算によります。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投資サマリー・金利上昇シナリオ比較</t>
        </is>
      </c>
    </row>
    <row r="3">
      <c r="A3" s="3" t="inlineStr">
        <is>
          <t>■ 主要指標</t>
        </is>
      </c>
      <c r="B3" s="3" t="inlineStr"/>
      <c r="C3" s="3" t="inlineStr"/>
      <c r="D3" s="3" t="inlineStr"/>
      <c r="E3" s="3" t="inlineStr"/>
    </row>
    <row r="4">
      <c r="A4" s="4" t="inlineStr">
        <is>
          <t>総事業費</t>
        </is>
      </c>
      <c r="B4" s="10">
        <f>'前提条件'!B8</f>
        <v/>
      </c>
      <c r="E4" s="7" t="inlineStr"/>
    </row>
    <row r="5">
      <c r="A5" s="4" t="inlineStr">
        <is>
          <t>自己資金 / 借入額</t>
        </is>
      </c>
      <c r="B5" s="10">
        <f>'前提条件'!B11</f>
        <v/>
      </c>
      <c r="C5" s="10">
        <f>'前提条件'!B12</f>
        <v/>
      </c>
      <c r="E5" s="7" t="inlineStr">
        <is>
          <t>隣は借入額</t>
        </is>
      </c>
    </row>
    <row r="6">
      <c r="A6" s="4" t="inlineStr">
        <is>
          <t>表面利回り(満室時家賃 ÷ 総事業費)</t>
        </is>
      </c>
      <c r="B6" s="18">
        <f>'前提条件'!B19/'前提条件'!B8</f>
        <v/>
      </c>
      <c r="E6" s="7" t="inlineStr">
        <is>
          <t>土地は自己所有のため建物投資に対する利回り</t>
        </is>
      </c>
    </row>
    <row r="7">
      <c r="A7" s="4" t="inlineStr">
        <is>
          <t>実質利回り(1年目NOI ÷ 総事業費)</t>
        </is>
      </c>
      <c r="B7" s="18">
        <f>収支計画30年!K4/'前提条件'!B8</f>
        <v/>
      </c>
      <c r="E7" s="7" t="inlineStr">
        <is>
          <t>運営費控除後</t>
        </is>
      </c>
    </row>
    <row r="8">
      <c r="A8" s="4" t="inlineStr">
        <is>
          <t>DSCR(1年目NOI ÷ 年間返済額)</t>
        </is>
      </c>
      <c r="B8" s="19">
        <f>IF('前提条件'!B15=0,"借入なし",収支計画30年!K4/'前提条件'!B15)</f>
        <v/>
      </c>
      <c r="E8" s="7" t="inlineStr">
        <is>
          <t>1.2以上が金融機関の目安</t>
        </is>
      </c>
    </row>
    <row r="9">
      <c r="A9" s="4" t="inlineStr">
        <is>
          <t>1年目 税引後キャッシュフロー</t>
        </is>
      </c>
      <c r="B9" s="10">
        <f>収支計画30年!R4</f>
        <v/>
      </c>
      <c r="E9" s="7" t="inlineStr"/>
    </row>
    <row r="10">
      <c r="A10" s="4" t="inlineStr">
        <is>
          <t>返済終了後(26年目)の年間手残り</t>
        </is>
      </c>
      <c r="B10" s="10">
        <f>収支計画30年!R29</f>
        <v/>
      </c>
      <c r="E10" s="7" t="inlineStr">
        <is>
          <t>無借金の収益資産になります</t>
        </is>
      </c>
    </row>
    <row r="11">
      <c r="A11" s="4" t="inlineStr">
        <is>
          <t>30年累計 税引後キャッシュフロー</t>
        </is>
      </c>
      <c r="B11" s="10">
        <f>収支計画30年!S33</f>
        <v/>
      </c>
      <c r="E11" s="7" t="inlineStr"/>
    </row>
    <row r="12">
      <c r="A12" s="4" t="inlineStr">
        <is>
          <t>30年累計 − 自己資金(純増額)</t>
        </is>
      </c>
      <c r="B12" s="10">
        <f>収支計画30年!S33-'前提条件'!B11</f>
        <v/>
      </c>
      <c r="E12" s="7" t="inlineStr">
        <is>
          <t>投下自己資金を差し引いた実質手取り</t>
        </is>
      </c>
    </row>
    <row r="14">
      <c r="A14" s="3" t="inlineStr">
        <is>
          <t>■ 金利上昇シナリオ(1年目ベース)</t>
        </is>
      </c>
      <c r="B14" s="3" t="inlineStr"/>
      <c r="C14" s="3" t="inlineStr"/>
      <c r="D14" s="3" t="inlineStr"/>
      <c r="E14" s="3" t="inlineStr"/>
    </row>
    <row r="15">
      <c r="A15" s="20" t="inlineStr"/>
      <c r="B15" s="21" t="inlineStr">
        <is>
          <t>現行金利</t>
        </is>
      </c>
      <c r="C15" s="21" t="inlineStr">
        <is>
          <t>+1.0%</t>
        </is>
      </c>
      <c r="D15" s="21" t="inlineStr">
        <is>
          <t>+2.0%</t>
        </is>
      </c>
    </row>
    <row r="16">
      <c r="A16" s="4" t="inlineStr">
        <is>
          <t>適用金利</t>
        </is>
      </c>
      <c r="B16" s="22">
        <f>'前提条件'!B13</f>
        <v/>
      </c>
      <c r="C16" s="22">
        <f>'前提条件'!B13+0.01</f>
        <v/>
      </c>
      <c r="D16" s="22">
        <f>'前提条件'!B13+0.02</f>
        <v/>
      </c>
    </row>
    <row r="17">
      <c r="A17" s="4" t="inlineStr">
        <is>
          <t>年間返済額</t>
        </is>
      </c>
      <c r="B17" s="15">
        <f>IF('前提条件'!B12&lt;=0,0,PMT(('前提条件'!B13+0)/12,'前提条件'!B14*12,-'前提条件'!B12)*12)</f>
        <v/>
      </c>
      <c r="C17" s="15">
        <f>IF('前提条件'!B12&lt;=0,0,PMT(('前提条件'!B13+0.01)/12,'前提条件'!B14*12,-'前提条件'!B12)*12)</f>
        <v/>
      </c>
      <c r="D17" s="15">
        <f>IF('前提条件'!B12&lt;=0,0,PMT(('前提条件'!B13+0.02)/12,'前提条件'!B14*12,-'前提条件'!B12)*12)</f>
        <v/>
      </c>
    </row>
    <row r="18">
      <c r="A18" s="9" t="inlineStr">
        <is>
          <t>1年目 税引前キャッシュフロー</t>
        </is>
      </c>
      <c r="B18" s="10">
        <f>収支計画30年!K4-B17</f>
        <v/>
      </c>
      <c r="C18" s="10">
        <f>収支計画30年!K4-C17</f>
        <v/>
      </c>
      <c r="D18" s="10">
        <f>収支計画30年!K4-D17</f>
        <v/>
      </c>
      <c r="E18" s="7" t="inlineStr">
        <is>
          <t>金利が2%上がっても赤字にならないかを確認</t>
        </is>
      </c>
    </row>
    <row r="20">
      <c r="A20" s="2" t="inlineStr">
        <is>
          <t>※ 本書は一定の前提に基づく概算シミュレーションであり、将来の収益を保証するものではありません。</t>
        </is>
      </c>
    </row>
    <row r="21">
      <c r="A21" s="2" t="inlineStr">
        <is>
          <t>※ 大規模修繕年は一時的にキャッシュフローがマイナスになります(収支計画30年シート参照)。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2026-07-07T05:45:24Z</dcterms:created>
  <dcterms:modified xsi:type="dcterms:W3CDTF">2026-07-07T05:45:24Z</dcterms:modified>
</cp:coreProperties>
</file>