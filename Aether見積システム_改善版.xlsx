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設定" sheetId="1" state="visible" r:id="rId1"/>
    <sheet name="入力シート" sheetId="2" state="visible" r:id="rId2"/>
    <sheet name="お客様見積書" sheetId="3" state="visible" r:id="rId3"/>
    <sheet name="お客様見積書_詳細" sheetId="4" state="visible" r:id="rId4"/>
    <sheet name="社内実行予算書" sheetId="5" state="visible" r:id="rId5"/>
    <sheet name="社内実行予算書_明細" sheetId="6" state="visible" r:id="rId6"/>
    <sheet name="粗利分析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yyyy/m/d"/>
  </numFmts>
  <fonts count="11">
    <font>
      <name val="Carlito"/>
      <sz val="11"/>
    </font>
    <font>
      <name val="Carlito"/>
      <b val="1"/>
      <sz val="11"/>
    </font>
    <font>
      <name val="Carlito"/>
      <b val="1"/>
      <color rgb="00FFFFFF"/>
      <sz val="11"/>
    </font>
    <font>
      <name val="Carlito"/>
      <b val="1"/>
      <color rgb="00FFFFFF"/>
      <sz val="16"/>
    </font>
    <font>
      <name val="Carlito"/>
      <sz val="11"/>
    </font>
    <font>
      <name val="Tsukushi A Round Gothic Bold"/>
      <sz val="6"/>
    </font>
    <font>
      <name val="Carlito"/>
      <b val="1"/>
      <sz val="16"/>
    </font>
    <font>
      <name val="Carlito"/>
      <b val="1"/>
      <color rgb="00000000"/>
      <sz val="18"/>
    </font>
    <font>
      <color rgb="000000FF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9"/>
      </patternFill>
    </fill>
    <fill>
      <patternFill patternType="solid">
        <fgColor rgb="00D9EAF7"/>
      </patternFill>
    </fill>
    <fill>
      <patternFill patternType="solid">
        <fgColor rgb="00FFF2CC"/>
        <bgColor rgb="00FFF2CC"/>
      </patternFill>
    </fill>
  </fills>
  <borders count="1">
    <border/>
  </borders>
  <cellStyleXfs count="2">
    <xf numFmtId="0" fontId="4" fillId="0" borderId="0"/>
    <xf numFmtId="0" fontId="4" fillId="0" borderId="0"/>
  </cellStyleXfs>
  <cellXfs count="28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3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1" fillId="2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1" fillId="4" borderId="0" applyAlignment="1" pivotButton="0" quotePrefix="0" xfId="0">
      <alignment wrapText="1"/>
    </xf>
    <xf numFmtId="3" fontId="1" fillId="4" borderId="0" applyAlignment="1" pivotButton="0" quotePrefix="0" xfId="0">
      <alignment wrapText="1"/>
    </xf>
    <xf numFmtId="164" fontId="1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7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wrapText="1"/>
    </xf>
    <xf numFmtId="0" fontId="6" fillId="4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0">
      <alignment wrapText="1"/>
    </xf>
    <xf numFmtId="3" fontId="8" fillId="5" borderId="0" applyAlignment="1" pivotButton="0" quotePrefix="0" xfId="0">
      <alignment wrapText="1"/>
    </xf>
    <xf numFmtId="3" fontId="9" fillId="0" borderId="0" applyAlignment="1" pivotButton="0" quotePrefix="0" xfId="0">
      <alignment wrapText="1"/>
    </xf>
    <xf numFmtId="0" fontId="10" fillId="0" borderId="0" applyAlignment="1" pivotButton="0" quotePrefix="0" xfId="0">
      <alignment wrapText="1"/>
    </xf>
    <xf numFmtId="164" fontId="1" fillId="4" borderId="0" applyAlignment="1" pivotButton="0" quotePrefix="0" xfId="0">
      <alignment wrapText="1"/>
    </xf>
    <xf numFmtId="164" fontId="4" fillId="0" borderId="0" applyAlignment="1" pivotButton="0" quotePrefix="0" xfId="0">
      <alignment wrapText="1"/>
    </xf>
    <xf numFmtId="3" fontId="10" fillId="0" borderId="0" applyAlignment="1" pivotButton="0" quotePrefix="0" xfId="0">
      <alignment wrapText="1"/>
    </xf>
    <xf numFmtId="164" fontId="10" fillId="0" borderId="0" applyAlignment="1" pivotButton="0" quotePrefix="0" xfId="0">
      <alignment wrapText="1"/>
    </xf>
  </cellXfs>
  <cellStyles count="2">
    <cellStyle name="標準" xfId="0"/>
    <cellStyle name="Normal" xfId="1"/>
  </cellStyles>
  <dxfs count="16">
    <dxf>
      <fill>
        <patternFill>
          <bgColor rgb="FFDCFCE7"/>
        </patternFill>
      </fill>
    </dxf>
    <dxf>
      <fill>
        <patternFill>
          <bgColor rgb="FFFECACA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C00000"/>
      </font>
      <fill>
        <patternFill>
          <bgColor rgb="FFF4CCCC"/>
        </patternFill>
      </fill>
    </dxf>
    <dxf>
      <fill>
        <patternFill>
          <bgColor rgb="FFDCFCE7"/>
        </patternFill>
      </fill>
    </dxf>
    <dxf>
      <fill>
        <patternFill>
          <bgColor rgb="FFFECACA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C00000"/>
      </font>
      <fill>
        <patternFill>
          <bgColor rgb="FFF4CCCC"/>
        </patternFill>
      </fill>
    </dxf>
    <dxf>
      <fill>
        <patternFill>
          <bgColor rgb="FFDCFCE7"/>
        </patternFill>
      </fill>
    </dxf>
    <dxf>
      <fill>
        <patternFill>
          <bgColor rgb="FFFECACA"/>
        </patternFill>
      </fill>
    </dxf>
    <dxf>
      <font>
        <color rgb="FF808080"/>
      </font>
      <fill>
        <patternFill>
          <bgColor rgb="FFE7E6E6"/>
        </patternFill>
      </fill>
    </dxf>
    <dxf>
      <fill>
        <patternFill patternType="solid">
          <fgColor rgb="00F4CCCC"/>
          <bgColor rgb="00F4CCCC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D9EAD3"/>
          <bgColor rgb="00D9EAD3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/>
              <a:t>工区別 見積・実行予算・粗利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お客様見積</v>
          </tx>
          <spPr>
            <a:ln>
              <a:prstDash val="solid"/>
            </a:ln>
          </spPr>
          <cat>
            <strRef>
              <f>粗利分析!$A$12:$A$23</f>
              <strCache>
                <ptCount val="12"/>
                <pt idx="0">
                  <v>玄関ホール、廊下、階段室吹抜</v>
                </pt>
                <pt idx="1">
                  <v>LDK</v>
                </pt>
                <pt idx="2">
                  <v>浴室</v>
                </pt>
                <pt idx="3">
                  <v>洗面所</v>
                </pt>
                <pt idx="4">
                  <v>トイレ</v>
                </pt>
                <pt idx="5">
                  <v>1F　和室6帖</v>
                </pt>
                <pt idx="6">
                  <v>2F　和室　4.5帖</v>
                </pt>
                <pt idx="7">
                  <v>2F　洋間8帖　A</v>
                </pt>
                <pt idx="8">
                  <v>2F　洋間6帖　B</v>
                </pt>
                <pt idx="9">
                  <v>2F　廊下</v>
                </pt>
                <pt idx="10">
                  <v>屋根</v>
                </pt>
                <pt idx="11">
                  <v>外壁</v>
                </pt>
              </strCache>
            </strRef>
          </cat>
          <val>
            <numRef>
              <f>粗利分析!$B$12:$B$23</f>
              <numCache>
                <formatCode>#,##0</formatCode>
                <ptCount val="12"/>
                <pt idx="0">
                  <v>513896</v>
                </pt>
                <pt idx="1">
                  <v>916866</v>
                </pt>
                <pt idx="2">
                  <v>960500</v>
                </pt>
                <pt idx="3">
                  <v>168740</v>
                </pt>
                <pt idx="4">
                  <v>222445</v>
                </pt>
                <pt idx="5">
                  <v>207640</v>
                </pt>
                <pt idx="6">
                  <v>180220</v>
                </pt>
                <pt idx="7">
                  <v>250528</v>
                </pt>
                <pt idx="8">
                  <v>209350</v>
                </pt>
                <pt idx="9">
                  <v>73510</v>
                </pt>
                <pt idx="10">
                  <v>280000</v>
                </pt>
                <pt idx="11">
                  <v>824550</v>
                </pt>
              </numCache>
            </numRef>
          </val>
        </ser>
        <ser>
          <idx val="1"/>
          <order val="1"/>
          <tx>
            <v>社内実行予算</v>
          </tx>
          <spPr>
            <a:ln>
              <a:prstDash val="solid"/>
            </a:ln>
          </spPr>
          <cat>
            <strRef>
              <f>粗利分析!$A$12:$A$23</f>
              <strCache>
                <ptCount val="12"/>
                <pt idx="0">
                  <v>玄関ホール、廊下、階段室吹抜</v>
                </pt>
                <pt idx="1">
                  <v>LDK</v>
                </pt>
                <pt idx="2">
                  <v>浴室</v>
                </pt>
                <pt idx="3">
                  <v>洗面所</v>
                </pt>
                <pt idx="4">
                  <v>トイレ</v>
                </pt>
                <pt idx="5">
                  <v>1F　和室6帖</v>
                </pt>
                <pt idx="6">
                  <v>2F　和室　4.5帖</v>
                </pt>
                <pt idx="7">
                  <v>2F　洋間8帖　A</v>
                </pt>
                <pt idx="8">
                  <v>2F　洋間6帖　B</v>
                </pt>
                <pt idx="9">
                  <v>2F　廊下</v>
                </pt>
                <pt idx="10">
                  <v>屋根</v>
                </pt>
                <pt idx="11">
                  <v>外壁</v>
                </pt>
              </strCache>
            </strRef>
          </cat>
          <val>
            <numRef>
              <f>粗利分析!$C$12:$C$23</f>
              <numCache>
                <formatCode>#,##0</formatCode>
                <ptCount val="12"/>
                <pt idx="0">
                  <v>336690</v>
                </pt>
                <pt idx="1">
                  <v>646837</v>
                </pt>
                <pt idx="2">
                  <v>697083</v>
                </pt>
                <pt idx="3">
                  <v>120855</v>
                </pt>
                <pt idx="4">
                  <v>161132</v>
                </pt>
                <pt idx="5">
                  <v>147600</v>
                </pt>
                <pt idx="6">
                  <v>128400</v>
                </pt>
                <pt idx="7">
                  <v>161475</v>
                </pt>
                <pt idx="8">
                  <v>139315</v>
                </pt>
                <pt idx="9">
                  <v>46405</v>
                </pt>
                <pt idx="10">
                  <v>196000</v>
                </pt>
                <pt idx="11">
                  <v>556000</v>
                </pt>
              </numCache>
            </numRef>
          </val>
        </ser>
        <ser>
          <idx val="2"/>
          <order val="2"/>
          <tx>
            <v>粗利額</v>
          </tx>
          <spPr>
            <a:ln>
              <a:prstDash val="solid"/>
            </a:ln>
          </spPr>
          <cat>
            <strRef>
              <f>粗利分析!$A$12:$A$23</f>
              <strCache>
                <ptCount val="12"/>
                <pt idx="0">
                  <v>玄関ホール、廊下、階段室吹抜</v>
                </pt>
                <pt idx="1">
                  <v>LDK</v>
                </pt>
                <pt idx="2">
                  <v>浴室</v>
                </pt>
                <pt idx="3">
                  <v>洗面所</v>
                </pt>
                <pt idx="4">
                  <v>トイレ</v>
                </pt>
                <pt idx="5">
                  <v>1F　和室6帖</v>
                </pt>
                <pt idx="6">
                  <v>2F　和室　4.5帖</v>
                </pt>
                <pt idx="7">
                  <v>2F　洋間8帖　A</v>
                </pt>
                <pt idx="8">
                  <v>2F　洋間6帖　B</v>
                </pt>
                <pt idx="9">
                  <v>2F　廊下</v>
                </pt>
                <pt idx="10">
                  <v>屋根</v>
                </pt>
                <pt idx="11">
                  <v>外壁</v>
                </pt>
              </strCache>
            </strRef>
          </cat>
          <val>
            <numRef>
              <f>粗利分析!$D$12:$D$23</f>
              <numCache>
                <formatCode>#,##0</formatCode>
                <ptCount val="12"/>
                <pt idx="0">
                  <v>177206</v>
                </pt>
                <pt idx="1">
                  <v>270029</v>
                </pt>
                <pt idx="2">
                  <v>263417</v>
                </pt>
                <pt idx="3">
                  <v>47885</v>
                </pt>
                <pt idx="4">
                  <v>61313</v>
                </pt>
                <pt idx="5">
                  <v>60040</v>
                </pt>
                <pt idx="6">
                  <v>51820</v>
                </pt>
                <pt idx="7">
                  <v>89053</v>
                </pt>
                <pt idx="8">
                  <v>70035</v>
                </pt>
                <pt idx="9">
                  <v>27105</v>
                </pt>
                <pt idx="10">
                  <v>84000</v>
                </pt>
                <pt idx="11">
                  <v>268550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#,##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0</colOff>
      <row>2</row>
      <rowOff>0</rowOff>
    </from>
    <to>
      <col>12</col>
      <colOff>0</colOff>
      <row>16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1"/>
  <sheetViews>
    <sheetView workbookViewId="0">
      <selection activeCell="A1" sqref="A1"/>
    </sheetView>
  </sheetViews>
  <sheetFormatPr baseColWidth="10" defaultColWidth="8.83203125" defaultRowHeight="14"/>
  <cols>
    <col width="22" customWidth="1" min="1" max="1"/>
    <col width="16" customWidth="1" min="2" max="2"/>
    <col width="48" customWidth="1" min="3" max="3"/>
    <col width="24" customWidth="1" min="4" max="4"/>
  </cols>
  <sheetData>
    <row r="1" ht="29.75" customHeight="1">
      <c r="A1" s="10" t="inlineStr">
        <is>
          <t>Aether 見積・実行予算システム（試作版）</t>
        </is>
      </c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</row>
    <row r="2" ht="26.75" customHeight="1">
      <c r="A2" s="5" t="inlineStr">
        <is>
          <t>作成日</t>
        </is>
      </c>
      <c r="B2" s="16" t="n">
        <v>46165</v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</row>
    <row r="3" ht="26.75" customHeight="1">
      <c r="A3" s="5" t="inlineStr">
        <is>
          <t>消費税率</t>
        </is>
      </c>
      <c r="B3" s="17" t="n">
        <v>0.1</v>
      </c>
      <c r="C3" s="11" t="inlineStr">
        <is>
          <t>お客様見積書の税込計算に使用</t>
        </is>
      </c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 ht="26.75" customHeight="1">
      <c r="A4" s="5" t="inlineStr">
        <is>
          <t>目標粗利率</t>
        </is>
      </c>
      <c r="B4" s="17" t="n">
        <v>0.3</v>
      </c>
      <c r="C4" s="11" t="inlineStr">
        <is>
          <t>社内実行予算書の判定に使用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</row>
    <row r="5" ht="26.75" customHeight="1">
      <c r="A5" s="5" t="inlineStr">
        <is>
          <t>最低粗利率（警告）</t>
        </is>
      </c>
      <c r="B5" s="17" t="n">
        <v>0.25</v>
      </c>
      <c r="C5" s="11" t="inlineStr">
        <is>
          <t>下回ると警告表示</t>
        </is>
      </c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 ht="26.75" customHeight="1">
      <c r="A6" s="5" t="inlineStr">
        <is>
          <t>会社名</t>
        </is>
      </c>
      <c r="B6" s="11" t="inlineStr">
        <is>
          <t>株式会社Aether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 ht="26.75" customHeight="1">
      <c r="A7" s="5" t="inlineStr">
        <is>
          <t>代表者</t>
        </is>
      </c>
      <c r="B7" s="11" t="inlineStr">
        <is>
          <t>伊藤 雄一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 ht="26.75" customHeight="1">
      <c r="A8" s="5" t="inlineStr">
        <is>
          <t>備考</t>
        </is>
      </c>
      <c r="B8" s="11" t="inlineStr">
        <is>
          <t>入力シートへ一度入力すると、お客様見積書・社内実行予算書へ反映されます。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7" t="inlineStr">
        <is>
          <t>見積有効期限（日数）</t>
        </is>
      </c>
      <c r="B9" s="18" t="n">
        <v>30</v>
      </c>
      <c r="C9" s="19" t="inlineStr">
        <is>
          <t>作成日からの有効日数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7" t="inlineStr">
        <is>
          <t>お支払条件</t>
        </is>
      </c>
      <c r="B10" s="11" t="inlineStr">
        <is>
          <t>着手金50％、完工時残金50％</t>
        </is>
      </c>
      <c r="C10" s="19" t="inlineStr">
        <is>
          <t>お客様見積書に表示</t>
        </is>
      </c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7" t="inlineStr">
        <is>
          <t>振込先</t>
        </is>
      </c>
      <c r="B11" s="11" t="inlineStr">
        <is>
          <t>（銀行名・支店名・口座番号を記入）</t>
        </is>
      </c>
      <c r="C11" s="19" t="inlineStr">
        <is>
          <t>お客様見積書に表示</t>
        </is>
      </c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>
      <c r="A12" s="7" t="inlineStr">
        <is>
          <t>特記事項</t>
        </is>
      </c>
      <c r="B12" s="11" t="inlineStr">
        <is>
          <t>別途、現場状況により追加費用が発生する場合があります。</t>
        </is>
      </c>
      <c r="C12" s="19" t="inlineStr">
        <is>
          <t>お客様見積書に表示</t>
        </is>
      </c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</row>
    <row r="256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</row>
    <row r="257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</row>
    <row r="300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</row>
    <row r="30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01"/>
  <sheetViews>
    <sheetView workbookViewId="0">
      <selection activeCell="A1" sqref="A1"/>
    </sheetView>
  </sheetViews>
  <sheetFormatPr baseColWidth="10" defaultColWidth="8.83203125" defaultRowHeight="14"/>
  <cols>
    <col width="5" customWidth="1" min="1" max="1"/>
    <col width="29.33203125" customWidth="1" min="2" max="2"/>
    <col width="10" customWidth="1" min="3" max="3"/>
    <col width="34" customWidth="1" min="4" max="4"/>
    <col width="8" customWidth="1" min="5" max="6"/>
    <col width="12" customWidth="1" min="7" max="7"/>
    <col width="14" customWidth="1" min="8" max="9"/>
    <col width="10" customWidth="1" min="10" max="10"/>
    <col width="8" customWidth="1" min="11" max="11"/>
    <col width="12" customWidth="1" min="12" max="12"/>
    <col width="14" customWidth="1" min="13" max="14"/>
    <col width="12" customWidth="1" min="15" max="15"/>
    <col width="10" customWidth="1" min="16" max="16"/>
    <col width="24" customWidth="1" min="17" max="17"/>
    <col width="34" customWidth="1" min="18" max="18"/>
    <col width="8" customWidth="1" min="19" max="19"/>
    <col width="20" customWidth="1" min="20" max="20"/>
  </cols>
  <sheetData>
    <row r="1" ht="47" customHeight="1">
      <c r="A1" s="1" t="inlineStr">
        <is>
          <t>No</t>
        </is>
      </c>
      <c r="B1" s="1" t="inlineStr">
        <is>
          <t>部屋・工区</t>
        </is>
      </c>
      <c r="C1" s="1" t="inlineStr">
        <is>
          <t>カテゴリ</t>
        </is>
      </c>
      <c r="D1" s="1" t="inlineStr">
        <is>
          <t>工事項目</t>
        </is>
      </c>
      <c r="E1" s="1" t="inlineStr">
        <is>
          <t>数量</t>
        </is>
      </c>
      <c r="F1" s="1" t="inlineStr">
        <is>
          <t>単位</t>
        </is>
      </c>
      <c r="G1" s="1" t="inlineStr">
        <is>
          <t>お客様単価</t>
        </is>
      </c>
      <c r="H1" s="1" t="inlineStr">
        <is>
          <t>お客様手入力金額</t>
        </is>
      </c>
      <c r="I1" s="1" t="inlineStr">
        <is>
          <t>お客様金額</t>
        </is>
      </c>
      <c r="J1" s="1" t="inlineStr">
        <is>
          <t>実行数量</t>
        </is>
      </c>
      <c r="K1" s="1" t="inlineStr">
        <is>
          <t>実行単位</t>
        </is>
      </c>
      <c r="L1" s="1" t="inlineStr">
        <is>
          <t>実行単価</t>
        </is>
      </c>
      <c r="M1" s="1" t="inlineStr">
        <is>
          <t>実行手入力金額</t>
        </is>
      </c>
      <c r="N1" s="1" t="inlineStr">
        <is>
          <t>実行金額</t>
        </is>
      </c>
      <c r="O1" s="1" t="inlineStr">
        <is>
          <t>粗利額</t>
        </is>
      </c>
      <c r="P1" s="1" t="inlineStr">
        <is>
          <t>粗利率</t>
        </is>
      </c>
      <c r="Q1" s="1" t="inlineStr">
        <is>
          <t>定価・掛率・人工費</t>
        </is>
      </c>
      <c r="R1" s="1" t="inlineStr">
        <is>
          <t>商品名・品番・メーカー</t>
        </is>
      </c>
      <c r="S1" s="1" t="inlineStr">
        <is>
          <t>表示</t>
        </is>
      </c>
      <c r="T1" s="1" t="inlineStr">
        <is>
          <t>備考</t>
        </is>
      </c>
      <c r="U1" s="11" t="n"/>
      <c r="V1" s="11" t="n"/>
      <c r="W1" s="11" t="n"/>
      <c r="X1" s="11" t="n"/>
      <c r="Y1" s="11" t="n"/>
      <c r="Z1" s="11" t="n"/>
    </row>
    <row r="2" ht="26.75" customHeight="1">
      <c r="A2" s="11" t="n">
        <v>1</v>
      </c>
      <c r="B2" s="11" t="inlineStr">
        <is>
          <t>玄関ホール、廊下、階段室吹抜</t>
        </is>
      </c>
      <c r="C2" s="11" t="inlineStr">
        <is>
          <t>材料</t>
        </is>
      </c>
      <c r="D2" s="11" t="inlineStr">
        <is>
          <t>床　上り框</t>
        </is>
      </c>
      <c r="E2" s="3" t="n">
        <v>1</v>
      </c>
      <c r="F2" s="11" t="inlineStr">
        <is>
          <t>本</t>
        </is>
      </c>
      <c r="G2" s="3" t="n">
        <v>8600</v>
      </c>
      <c r="H2" s="3" t="n"/>
      <c r="I2" s="3">
        <f>IF($A2="","",IF($S2&lt;&gt;"表示",0,IF($H2&gt;0,$H2,IFERROR($E2*$G2,0))))</f>
        <v/>
      </c>
      <c r="J2" s="3" t="n">
        <v>1</v>
      </c>
      <c r="K2" s="11" t="inlineStr">
        <is>
          <t>本</t>
        </is>
      </c>
      <c r="L2" s="3" t="n">
        <v>5320</v>
      </c>
      <c r="M2" s="3" t="n"/>
      <c r="N2" s="3">
        <f>IF($A2="","",IF($S2&lt;&gt;"表示",0,IF($M2&gt;0,$M2,IFERROR($J2*$L2,0))))</f>
        <v/>
      </c>
      <c r="O2" s="3">
        <f>IF($A2="","",$I2-$N2)</f>
        <v/>
      </c>
      <c r="P2" s="17">
        <f>IF($A2="","",IFERROR($O2/$I2,0))</f>
        <v/>
      </c>
      <c r="Q2" s="11" t="inlineStr">
        <is>
          <t>定価15,200円/本（2,000㎜）×35％</t>
        </is>
      </c>
      <c r="R2" s="11" t="inlineStr">
        <is>
          <t>ノダ　リフォーム上り框　7㎜厚</t>
        </is>
      </c>
      <c r="S2" s="11" t="inlineStr">
        <is>
          <t>表示</t>
        </is>
      </c>
      <c r="T2" s="11" t="n"/>
      <c r="U2" s="11" t="n"/>
      <c r="V2" s="11" t="n"/>
      <c r="W2" s="11" t="n"/>
      <c r="X2" s="11" t="n"/>
      <c r="Y2" s="11" t="n"/>
      <c r="Z2" s="11" t="n"/>
    </row>
    <row r="3" ht="26.75" customHeight="1">
      <c r="A3" s="11" t="n">
        <v>2</v>
      </c>
      <c r="B3" s="11" t="inlineStr">
        <is>
          <t>玄関ホール、廊下、階段室吹抜</t>
        </is>
      </c>
      <c r="C3" s="11" t="inlineStr">
        <is>
          <t>材料</t>
        </is>
      </c>
      <c r="D3" s="11" t="inlineStr">
        <is>
          <t>床　フローリング</t>
        </is>
      </c>
      <c r="E3" s="3" t="n">
        <v>2</v>
      </c>
      <c r="F3" s="11" t="inlineStr">
        <is>
          <t>梱</t>
        </is>
      </c>
      <c r="G3" s="3" t="n">
        <v>8000</v>
      </c>
      <c r="H3" s="3" t="n"/>
      <c r="I3" s="3">
        <f>IF($A3="","",IF($S3&lt;&gt;"表示",0,IF($H3&gt;0,$H3,IFERROR($E3*$G3,0))))</f>
        <v/>
      </c>
      <c r="J3" s="3" t="n">
        <v>2</v>
      </c>
      <c r="K3" s="11" t="inlineStr">
        <is>
          <t>梱</t>
        </is>
      </c>
      <c r="L3" s="3" t="n">
        <v>4550</v>
      </c>
      <c r="M3" s="3" t="n"/>
      <c r="N3" s="3">
        <f>IF($A3="","",IF($S3&lt;&gt;"表示",0,IF($M3&gt;0,$M3,IFERROR($J3*$L3,0))))</f>
        <v/>
      </c>
      <c r="O3" s="3">
        <f>IF($A3="","",$I3-$N3)</f>
        <v/>
      </c>
      <c r="P3" s="17">
        <f>IF($A3="","",IFERROR($O3/$I3,0))</f>
        <v/>
      </c>
      <c r="Q3" s="11" t="inlineStr">
        <is>
          <t>定価13,000円/梱（3.3㎡）×35％</t>
        </is>
      </c>
      <c r="R3" s="11" t="inlineStr">
        <is>
          <t>ノダ　ウォークフィット6　6.3㎜厚</t>
        </is>
      </c>
      <c r="S3" s="11" t="inlineStr">
        <is>
          <t>表示</t>
        </is>
      </c>
      <c r="T3" s="11" t="n"/>
      <c r="U3" s="11" t="n"/>
      <c r="V3" s="11" t="n"/>
      <c r="W3" s="11" t="n"/>
      <c r="X3" s="11" t="n"/>
      <c r="Y3" s="11" t="n"/>
      <c r="Z3" s="11" t="n"/>
    </row>
    <row r="4" ht="26.75" customHeight="1">
      <c r="A4" s="11" t="n">
        <v>3</v>
      </c>
      <c r="B4" s="11" t="inlineStr">
        <is>
          <t>玄関ホール、廊下、階段室吹抜</t>
        </is>
      </c>
      <c r="C4" s="11" t="inlineStr">
        <is>
          <t>材料</t>
        </is>
      </c>
      <c r="D4" s="11" t="inlineStr">
        <is>
          <t>巾木</t>
        </is>
      </c>
      <c r="E4" s="3" t="n">
        <v>2</v>
      </c>
      <c r="F4" s="11" t="inlineStr">
        <is>
          <t>本</t>
        </is>
      </c>
      <c r="G4" s="3" t="n">
        <v>900</v>
      </c>
      <c r="H4" s="3" t="n"/>
      <c r="I4" s="3">
        <f>IF($A4="","",IF($S4&lt;&gt;"表示",0,IF($H4&gt;0,$H4,IFERROR($E4*$G4,0))))</f>
        <v/>
      </c>
      <c r="J4" s="3" t="n">
        <v>2</v>
      </c>
      <c r="K4" s="11" t="inlineStr">
        <is>
          <t>本</t>
        </is>
      </c>
      <c r="L4" s="3" t="n">
        <v>735</v>
      </c>
      <c r="M4" s="3" t="n"/>
      <c r="N4" s="3">
        <f>IF($A4="","",IF($S4&lt;&gt;"表示",0,IF($M4&gt;0,$M4,IFERROR($J4*$L4,0))))</f>
        <v/>
      </c>
      <c r="O4" s="3">
        <f>IF($A4="","",$I4-$N4)</f>
        <v/>
      </c>
      <c r="P4" s="17">
        <f>IF($A4="","",IFERROR($O4/$I4,0))</f>
        <v/>
      </c>
      <c r="Q4" s="11" t="inlineStr">
        <is>
          <t>定価2,100円/本×35％</t>
        </is>
      </c>
      <c r="R4" s="11" t="inlineStr">
        <is>
          <t>ノダ　巾木C　7×60×3,950㎜（3本入）</t>
        </is>
      </c>
      <c r="S4" s="11" t="inlineStr">
        <is>
          <t>表示</t>
        </is>
      </c>
      <c r="T4" s="11" t="n"/>
      <c r="U4" s="11" t="n"/>
      <c r="V4" s="11" t="n"/>
      <c r="W4" s="11" t="n"/>
      <c r="X4" s="11" t="n"/>
      <c r="Y4" s="11" t="n"/>
      <c r="Z4" s="11" t="n"/>
    </row>
    <row r="5" ht="26.75" customHeight="1">
      <c r="A5" s="11" t="n">
        <v>4</v>
      </c>
      <c r="B5" s="11" t="inlineStr">
        <is>
          <t>玄関ホール、廊下、階段室吹抜</t>
        </is>
      </c>
      <c r="C5" s="11" t="inlineStr">
        <is>
          <t>材料</t>
        </is>
      </c>
      <c r="D5" s="11" t="inlineStr">
        <is>
          <t>リフォーム階段（直14段）踏板</t>
        </is>
      </c>
      <c r="E5" s="3" t="n">
        <v>13</v>
      </c>
      <c r="F5" s="11" t="inlineStr">
        <is>
          <t>枚</t>
        </is>
      </c>
      <c r="G5" s="3" t="n">
        <v>1400</v>
      </c>
      <c r="H5" s="3" t="n"/>
      <c r="I5" s="3">
        <f>IF($A5="","",IF($S5&lt;&gt;"表示",0,IF($H5&gt;0,$H5,IFERROR($E5*$G5,0))))</f>
        <v/>
      </c>
      <c r="J5" s="3" t="n">
        <v>13</v>
      </c>
      <c r="K5" s="11" t="inlineStr">
        <is>
          <t>枚</t>
        </is>
      </c>
      <c r="L5" s="3" t="n">
        <v>1330</v>
      </c>
      <c r="M5" s="3" t="n"/>
      <c r="N5" s="3">
        <f>IF($A5="","",IF($S5&lt;&gt;"表示",0,IF($M5&gt;0,$M5,IFERROR($J5*$L5,0))))</f>
        <v/>
      </c>
      <c r="O5" s="3">
        <f>IF($A5="","",$I5-$N5)</f>
        <v/>
      </c>
      <c r="P5" s="17">
        <f>IF($A5="","",IFERROR($O5/$I5,0))</f>
        <v/>
      </c>
      <c r="Q5" s="11" t="inlineStr">
        <is>
          <t>定価3,800円×35％</t>
        </is>
      </c>
      <c r="R5" s="11" t="inlineStr">
        <is>
          <t>ノダ リフォーム階段</t>
        </is>
      </c>
      <c r="S5" s="11" t="inlineStr">
        <is>
          <t>表示</t>
        </is>
      </c>
      <c r="T5" s="11" t="n"/>
      <c r="U5" s="11" t="n"/>
      <c r="V5" s="11" t="n"/>
      <c r="W5" s="11" t="n"/>
      <c r="X5" s="11" t="n"/>
      <c r="Y5" s="11" t="n"/>
      <c r="Z5" s="11" t="n"/>
    </row>
    <row r="6" ht="26.75" customHeight="1">
      <c r="A6" s="11" t="n">
        <v>5</v>
      </c>
      <c r="B6" s="11" t="inlineStr">
        <is>
          <t>玄関ホール、廊下、階段室吹抜</t>
        </is>
      </c>
      <c r="C6" s="11" t="inlineStr">
        <is>
          <t>材料</t>
        </is>
      </c>
      <c r="D6" s="11" t="inlineStr">
        <is>
          <t>〃 蹴込板</t>
        </is>
      </c>
      <c r="E6" s="3" t="n">
        <v>14</v>
      </c>
      <c r="F6" s="11" t="inlineStr">
        <is>
          <t>枚</t>
        </is>
      </c>
      <c r="G6" s="3" t="n">
        <v>900</v>
      </c>
      <c r="H6" s="3" t="n"/>
      <c r="I6" s="3">
        <f>IF($A6="","",IF($S6&lt;&gt;"表示",0,IF($H6&gt;0,$H6,IFERROR($E6*$G6,0))))</f>
        <v/>
      </c>
      <c r="J6" s="3" t="n">
        <v>14</v>
      </c>
      <c r="K6" s="11" t="inlineStr">
        <is>
          <t>枚</t>
        </is>
      </c>
      <c r="L6" s="3" t="n">
        <v>315</v>
      </c>
      <c r="M6" s="3" t="n"/>
      <c r="N6" s="3">
        <f>IF($A6="","",IF($S6&lt;&gt;"表示",0,IF($M6&gt;0,$M6,IFERROR($J6*$L6,0))))</f>
        <v/>
      </c>
      <c r="O6" s="3">
        <f>IF($A6="","",$I6-$N6)</f>
        <v/>
      </c>
      <c r="P6" s="17">
        <f>IF($A6="","",IFERROR($O6/$I6,0))</f>
        <v/>
      </c>
      <c r="Q6" s="11" t="inlineStr">
        <is>
          <t>定価900円×35％</t>
        </is>
      </c>
      <c r="R6" s="11" t="inlineStr">
        <is>
          <t>〃 〃</t>
        </is>
      </c>
      <c r="S6" s="11" t="inlineStr">
        <is>
          <t>表示</t>
        </is>
      </c>
      <c r="T6" s="11" t="n"/>
      <c r="U6" s="11" t="n"/>
      <c r="V6" s="11" t="n"/>
      <c r="W6" s="11" t="n"/>
      <c r="X6" s="11" t="n"/>
      <c r="Y6" s="11" t="n"/>
      <c r="Z6" s="11" t="n"/>
    </row>
    <row r="7" ht="26.75" customHeight="1">
      <c r="A7" s="11" t="n">
        <v>6</v>
      </c>
      <c r="B7" s="11" t="inlineStr">
        <is>
          <t>玄関ホール、廊下、階段室吹抜</t>
        </is>
      </c>
      <c r="C7" s="11" t="inlineStr">
        <is>
          <t>材料</t>
        </is>
      </c>
      <c r="D7" s="11" t="inlineStr">
        <is>
          <t>〃 段鼻部材</t>
        </is>
      </c>
      <c r="E7" s="3" t="n">
        <v>13</v>
      </c>
      <c r="F7" s="11" t="inlineStr">
        <is>
          <t>本</t>
        </is>
      </c>
      <c r="G7" s="3" t="n">
        <v>2700</v>
      </c>
      <c r="H7" s="3" t="n"/>
      <c r="I7" s="3">
        <f>IF($A7="","",IF($S7&lt;&gt;"表示",0,IF($H7&gt;0,$H7,IFERROR($E7*$G7,0))))</f>
        <v/>
      </c>
      <c r="J7" s="3" t="n">
        <v>13</v>
      </c>
      <c r="K7" s="11" t="inlineStr">
        <is>
          <t>本</t>
        </is>
      </c>
      <c r="L7" s="3" t="n">
        <v>630</v>
      </c>
      <c r="M7" s="3" t="n"/>
      <c r="N7" s="3">
        <f>IF($A7="","",IF($S7&lt;&gt;"表示",0,IF($M7&gt;0,$M7,IFERROR($J7*$L7,0))))</f>
        <v/>
      </c>
      <c r="O7" s="3">
        <f>IF($A7="","",$I7-$N7)</f>
        <v/>
      </c>
      <c r="P7" s="17">
        <f>IF($A7="","",IFERROR($O7/$I7,0))</f>
        <v/>
      </c>
      <c r="Q7" s="11" t="inlineStr">
        <is>
          <t>定価1,800円×35％</t>
        </is>
      </c>
      <c r="R7" s="11" t="inlineStr">
        <is>
          <t>〃 〃</t>
        </is>
      </c>
      <c r="S7" s="11" t="inlineStr">
        <is>
          <t>表示</t>
        </is>
      </c>
      <c r="T7" s="11" t="n"/>
      <c r="U7" s="11" t="n"/>
      <c r="V7" s="11" t="n"/>
      <c r="W7" s="11" t="n"/>
      <c r="X7" s="11" t="n"/>
      <c r="Y7" s="11" t="n"/>
      <c r="Z7" s="11" t="n"/>
    </row>
    <row r="8" ht="26.75" customHeight="1">
      <c r="A8" s="11" t="n">
        <v>7</v>
      </c>
      <c r="B8" s="11" t="inlineStr">
        <is>
          <t>玄関ホール、廊下、階段室吹抜</t>
        </is>
      </c>
      <c r="C8" s="11" t="inlineStr">
        <is>
          <t>材料</t>
        </is>
      </c>
      <c r="D8" s="11" t="inlineStr">
        <is>
          <t>〃 上段框用段鼻部材</t>
        </is>
      </c>
      <c r="E8" s="3" t="n">
        <v>1</v>
      </c>
      <c r="F8" s="11" t="inlineStr">
        <is>
          <t>本</t>
        </is>
      </c>
      <c r="G8" s="3" t="n">
        <v>3000</v>
      </c>
      <c r="H8" s="3" t="n"/>
      <c r="I8" s="3">
        <f>IF($A8="","",IF($S8&lt;&gt;"表示",0,IF($H8&gt;0,$H8,IFERROR($E8*$G8,0))))</f>
        <v/>
      </c>
      <c r="J8" s="3" t="n">
        <v>1</v>
      </c>
      <c r="K8" s="11" t="inlineStr">
        <is>
          <t>本</t>
        </is>
      </c>
      <c r="L8" s="3" t="n">
        <v>630</v>
      </c>
      <c r="M8" s="3" t="n"/>
      <c r="N8" s="3">
        <f>IF($A8="","",IF($S8&lt;&gt;"表示",0,IF($M8&gt;0,$M8,IFERROR($J8*$L8,0))))</f>
        <v/>
      </c>
      <c r="O8" s="3">
        <f>IF($A8="","",$I8-$N8)</f>
        <v/>
      </c>
      <c r="P8" s="17">
        <f>IF($A8="","",IFERROR($O8/$I8,0))</f>
        <v/>
      </c>
      <c r="Q8" s="11" t="inlineStr">
        <is>
          <t>定価1,800円×35％</t>
        </is>
      </c>
      <c r="R8" s="11" t="inlineStr">
        <is>
          <t>〃 〃</t>
        </is>
      </c>
      <c r="S8" s="11" t="inlineStr">
        <is>
          <t>表示</t>
        </is>
      </c>
      <c r="T8" s="11" t="n"/>
      <c r="U8" s="11" t="n"/>
      <c r="V8" s="11" t="n"/>
      <c r="W8" s="11" t="n"/>
      <c r="X8" s="11" t="n"/>
      <c r="Y8" s="11" t="n"/>
      <c r="Z8" s="11" t="n"/>
    </row>
    <row r="9" ht="26.75" customHeight="1">
      <c r="A9" s="11" t="n">
        <v>8</v>
      </c>
      <c r="B9" s="11" t="inlineStr">
        <is>
          <t>玄関ホール、廊下、階段室吹抜</t>
        </is>
      </c>
      <c r="C9" s="11" t="inlineStr">
        <is>
          <t>材料</t>
        </is>
      </c>
      <c r="D9" s="11" t="inlineStr">
        <is>
          <t>玄関収納　W120×H226cm　床置</t>
        </is>
      </c>
      <c r="E9" s="3" t="n">
        <v>1</v>
      </c>
      <c r="F9" s="11" t="inlineStr">
        <is>
          <t>セット</t>
        </is>
      </c>
      <c r="G9" s="3" t="n">
        <v>66100</v>
      </c>
      <c r="H9" s="3" t="n"/>
      <c r="I9" s="3">
        <f>IF($A9="","",IF($S9&lt;&gt;"表示",0,IF($H9&gt;0,$H9,IFERROR($E9*$G9,0))))</f>
        <v/>
      </c>
      <c r="J9" s="3" t="n">
        <v>1</v>
      </c>
      <c r="K9" s="11" t="inlineStr">
        <is>
          <t>セット</t>
        </is>
      </c>
      <c r="L9" s="3" t="n">
        <v>53165</v>
      </c>
      <c r="M9" s="3" t="n"/>
      <c r="N9" s="3">
        <f>IF($A9="","",IF($S9&lt;&gt;"表示",0,IF($M9&gt;0,$M9,IFERROR($J9*$L9,0))))</f>
        <v/>
      </c>
      <c r="O9" s="3">
        <f>IF($A9="","",$I9-$N9)</f>
        <v/>
      </c>
      <c r="P9" s="17">
        <f>IF($A9="","",IFERROR($O9/$I9,0))</f>
        <v/>
      </c>
      <c r="Q9" s="11" t="inlineStr">
        <is>
          <t>定価151,900円×35％</t>
        </is>
      </c>
      <c r="R9" s="11" t="inlineStr">
        <is>
          <t>ノダ　玄関収納コの字フラット</t>
        </is>
      </c>
      <c r="S9" s="11" t="inlineStr">
        <is>
          <t>表示</t>
        </is>
      </c>
      <c r="T9" s="11" t="n"/>
      <c r="U9" s="11" t="n"/>
      <c r="V9" s="11" t="n"/>
      <c r="W9" s="11" t="n"/>
      <c r="X9" s="11" t="n"/>
      <c r="Y9" s="11" t="n"/>
      <c r="Z9" s="11" t="n"/>
    </row>
    <row r="10" ht="26.75" customHeight="1">
      <c r="A10" s="11" t="n">
        <v>9</v>
      </c>
      <c r="B10" s="11" t="inlineStr">
        <is>
          <t>玄関ホール、廊下、階段室吹抜</t>
        </is>
      </c>
      <c r="C10" s="11" t="inlineStr">
        <is>
          <t>材料</t>
        </is>
      </c>
      <c r="D10" s="11" t="inlineStr">
        <is>
          <t>取替用玄関ドア（片袖）</t>
        </is>
      </c>
      <c r="E10" s="3" t="n">
        <v>1</v>
      </c>
      <c r="F10" s="11" t="inlineStr">
        <is>
          <t>セット</t>
        </is>
      </c>
      <c r="G10" s="3" t="n">
        <v>165700</v>
      </c>
      <c r="H10" s="3" t="n"/>
      <c r="I10" s="3">
        <f>IF($A10="","",IF($S10&lt;&gt;"表示",0,IF($H10&gt;0,$H10,IFERROR($E10*$G10,0))))</f>
        <v/>
      </c>
      <c r="J10" s="3" t="n">
        <v>1</v>
      </c>
      <c r="K10" s="11" t="inlineStr">
        <is>
          <t>セット</t>
        </is>
      </c>
      <c r="L10" s="3" t="n">
        <v>114100</v>
      </c>
      <c r="M10" s="3" t="n"/>
      <c r="N10" s="3">
        <f>IF($A10="","",IF($S10&lt;&gt;"表示",0,IF($M10&gt;0,$M10,IFERROR($J10*$L10,0))))</f>
        <v/>
      </c>
      <c r="O10" s="3">
        <f>IF($A10="","",$I10-$N10)</f>
        <v/>
      </c>
      <c r="P10" s="17">
        <f>IF($A10="","",IFERROR($O10/$I10,0))</f>
        <v/>
      </c>
      <c r="Q10" s="11" t="inlineStr">
        <is>
          <t>定価326,000円×35％</t>
        </is>
      </c>
      <c r="R10" s="11" t="inlineStr">
        <is>
          <t>LIXIL　リシェント　アルミ仕様</t>
        </is>
      </c>
      <c r="S10" s="11" t="inlineStr">
        <is>
          <t>表示</t>
        </is>
      </c>
      <c r="T10" s="11" t="n"/>
      <c r="U10" s="11" t="n"/>
      <c r="V10" s="11" t="n"/>
      <c r="W10" s="11" t="n"/>
      <c r="X10" s="11" t="n"/>
      <c r="Y10" s="11" t="n"/>
      <c r="Z10" s="11" t="n"/>
    </row>
    <row r="11" ht="26.75" customHeight="1">
      <c r="A11" s="11" t="n">
        <v>10</v>
      </c>
      <c r="B11" s="11" t="inlineStr">
        <is>
          <t>玄関ホール、廊下、階段室吹抜</t>
        </is>
      </c>
      <c r="C11" s="11" t="inlineStr">
        <is>
          <t>材料</t>
        </is>
      </c>
      <c r="D11" s="11" t="inlineStr">
        <is>
          <t>袖部ランマ袖部ガラス</t>
        </is>
      </c>
      <c r="E11" s="3" t="n">
        <v>1</v>
      </c>
      <c r="F11" s="11" t="inlineStr">
        <is>
          <t>式</t>
        </is>
      </c>
      <c r="G11" s="3" t="n"/>
      <c r="H11" s="3" t="n">
        <v>6200</v>
      </c>
      <c r="I11" s="3">
        <f>IF($A11="","",IF($S11&lt;&gt;"表示",0,IF($H11&gt;0,$H11,IFERROR($E11*$G11,0))))</f>
        <v/>
      </c>
      <c r="J11" s="3" t="n">
        <v>1</v>
      </c>
      <c r="K11" s="11" t="inlineStr">
        <is>
          <t>式</t>
        </is>
      </c>
      <c r="L11" s="3" t="n"/>
      <c r="M11" s="3" t="n">
        <v>4650</v>
      </c>
      <c r="N11" s="3">
        <f>IF($A11="","",IF($S11&lt;&gt;"表示",0,IF($M11&gt;0,$M11,IFERROR($J11*$L11,0))))</f>
        <v/>
      </c>
      <c r="O11" s="3">
        <f>IF($A11="","",$I11-$N11)</f>
        <v/>
      </c>
      <c r="P11" s="17">
        <f>IF($A11="","",IFERROR($O11/$I11,0))</f>
        <v/>
      </c>
      <c r="Q11" s="11" t="n"/>
      <c r="R11" s="11" t="inlineStr">
        <is>
          <t>5㎜ガラス</t>
        </is>
      </c>
      <c r="S11" s="11" t="inlineStr">
        <is>
          <t>表示</t>
        </is>
      </c>
      <c r="T11" s="11" t="n"/>
      <c r="U11" s="11" t="n"/>
      <c r="V11" s="11" t="n"/>
      <c r="W11" s="11" t="n"/>
      <c r="X11" s="11" t="n"/>
      <c r="Y11" s="11" t="n"/>
      <c r="Z11" s="11" t="n"/>
    </row>
    <row r="12" ht="26.75" customHeight="1">
      <c r="A12" s="11" t="n">
        <v>11</v>
      </c>
      <c r="B12" s="11" t="inlineStr">
        <is>
          <t>玄関ホール、廊下、階段室吹抜</t>
        </is>
      </c>
      <c r="C12" s="11" t="inlineStr">
        <is>
          <t>材料</t>
        </is>
      </c>
      <c r="D12" s="11" t="inlineStr">
        <is>
          <t>木枠塗装剤</t>
        </is>
      </c>
      <c r="E12" s="3" t="n">
        <v>1</v>
      </c>
      <c r="F12" s="11" t="inlineStr">
        <is>
          <t>式</t>
        </is>
      </c>
      <c r="G12" s="3" t="n"/>
      <c r="H12" s="3" t="n">
        <v>3200</v>
      </c>
      <c r="I12" s="3">
        <f>IF($A12="","",IF($S12&lt;&gt;"表示",0,IF($H12&gt;0,$H12,IFERROR($E12*$G12,0))))</f>
        <v/>
      </c>
      <c r="J12" s="3" t="n">
        <v>1</v>
      </c>
      <c r="K12" s="11" t="inlineStr">
        <is>
          <t>式</t>
        </is>
      </c>
      <c r="L12" s="3" t="n"/>
      <c r="M12" s="3" t="n">
        <v>2400</v>
      </c>
      <c r="N12" s="3">
        <f>IF($A12="","",IF($S12&lt;&gt;"表示",0,IF($M12&gt;0,$M12,IFERROR($J12*$L12,0))))</f>
        <v/>
      </c>
      <c r="O12" s="3">
        <f>IF($A12="","",$I12-$N12)</f>
        <v/>
      </c>
      <c r="P12" s="17">
        <f>IF($A12="","",IFERROR($O12/$I12,0))</f>
        <v/>
      </c>
      <c r="Q12" s="11" t="n"/>
      <c r="R12" s="11" t="n"/>
      <c r="S12" s="11" t="inlineStr">
        <is>
          <t>表示</t>
        </is>
      </c>
      <c r="T12" s="11" t="n"/>
      <c r="U12" s="11" t="n"/>
      <c r="V12" s="11" t="n"/>
      <c r="W12" s="11" t="n"/>
      <c r="X12" s="11" t="n"/>
      <c r="Y12" s="11" t="n"/>
      <c r="Z12" s="11" t="n"/>
    </row>
    <row r="13" ht="26.75" customHeight="1">
      <c r="A13" s="11" t="n">
        <v>12</v>
      </c>
      <c r="B13" s="11" t="inlineStr">
        <is>
          <t>玄関ホール、廊下、階段室吹抜</t>
        </is>
      </c>
      <c r="C13" s="11" t="inlineStr">
        <is>
          <t>施工</t>
        </is>
      </c>
      <c r="D13" s="11" t="inlineStr">
        <is>
          <t>床　上り框取付</t>
        </is>
      </c>
      <c r="E13" s="3" t="n">
        <v>1</v>
      </c>
      <c r="F13" s="11" t="inlineStr">
        <is>
          <t>式</t>
        </is>
      </c>
      <c r="G13" s="3" t="n"/>
      <c r="H13" s="3" t="n">
        <v>4200</v>
      </c>
      <c r="I13" s="3">
        <f>IF($A13="","",IF($S13&lt;&gt;"表示",0,IF($H13&gt;0,$H13,IFERROR($E13*$G13,0))))</f>
        <v/>
      </c>
      <c r="J13" s="3" t="n">
        <v>1</v>
      </c>
      <c r="K13" s="11" t="inlineStr">
        <is>
          <t>式</t>
        </is>
      </c>
      <c r="L13" s="3" t="n"/>
      <c r="M13" s="3" t="n">
        <v>3000</v>
      </c>
      <c r="N13" s="3">
        <f>IF($A13="","",IF($S13&lt;&gt;"表示",0,IF($M13&gt;0,$M13,IFERROR($J13*$L13,0))))</f>
        <v/>
      </c>
      <c r="O13" s="3">
        <f>IF($A13="","",$I13-$N13)</f>
        <v/>
      </c>
      <c r="P13" s="17">
        <f>IF($A13="","",IFERROR($O13/$I13,0))</f>
        <v/>
      </c>
      <c r="Q13" s="11" t="n"/>
      <c r="R13" s="11" t="n"/>
      <c r="S13" s="11" t="inlineStr">
        <is>
          <t>表示</t>
        </is>
      </c>
      <c r="T13" s="11" t="n"/>
      <c r="U13" s="11" t="n"/>
      <c r="V13" s="11" t="n"/>
      <c r="W13" s="11" t="n"/>
      <c r="X13" s="11" t="n"/>
      <c r="Y13" s="11" t="n"/>
      <c r="Z13" s="11" t="n"/>
    </row>
    <row r="14" ht="26.75" customHeight="1">
      <c r="A14" s="11" t="n">
        <v>13</v>
      </c>
      <c r="B14" s="11" t="inlineStr">
        <is>
          <t>玄関ホール、廊下、階段室吹抜</t>
        </is>
      </c>
      <c r="C14" s="11" t="inlineStr">
        <is>
          <t>施工</t>
        </is>
      </c>
      <c r="D14" s="11" t="inlineStr">
        <is>
          <t>床　フローリング重ね貼り</t>
        </is>
      </c>
      <c r="E14" s="3" t="n">
        <v>5.2</v>
      </c>
      <c r="F14" s="11" t="inlineStr">
        <is>
          <t>㎡</t>
        </is>
      </c>
      <c r="G14" s="3" t="n">
        <v>2140</v>
      </c>
      <c r="H14" s="3" t="n"/>
      <c r="I14" s="3">
        <f>IF($A14="","",IF($S14&lt;&gt;"表示",0,IF($H14&gt;0,$H14,IFERROR($E14*$G14,0))))</f>
        <v/>
      </c>
      <c r="J14" s="3" t="n">
        <v>5.2</v>
      </c>
      <c r="K14" s="11" t="inlineStr">
        <is>
          <t>㎡</t>
        </is>
      </c>
      <c r="L14" s="3" t="n">
        <v>1500</v>
      </c>
      <c r="M14" s="3" t="n"/>
      <c r="N14" s="3">
        <f>IF($A14="","",IF($S14&lt;&gt;"表示",0,IF($M14&gt;0,$M14,IFERROR($J14*$L14,0))))</f>
        <v/>
      </c>
      <c r="O14" s="3">
        <f>IF($A14="","",$I14-$N14)</f>
        <v/>
      </c>
      <c r="P14" s="17">
        <f>IF($A14="","",IFERROR($O14/$I14,0))</f>
        <v/>
      </c>
      <c r="Q14" s="11" t="n"/>
      <c r="R14" s="11" t="n"/>
      <c r="S14" s="11" t="inlineStr">
        <is>
          <t>表示</t>
        </is>
      </c>
      <c r="T14" s="11" t="n"/>
      <c r="U14" s="11" t="n"/>
      <c r="V14" s="11" t="n"/>
      <c r="W14" s="11" t="n"/>
      <c r="X14" s="11" t="n"/>
      <c r="Y14" s="11" t="n"/>
      <c r="Z14" s="11" t="n"/>
    </row>
    <row r="15" ht="26.75" customHeight="1">
      <c r="A15" s="11" t="n">
        <v>14</v>
      </c>
      <c r="B15" s="11" t="inlineStr">
        <is>
          <t>玄関ホール、廊下、階段室吹抜</t>
        </is>
      </c>
      <c r="C15" s="11" t="inlineStr">
        <is>
          <t>施工</t>
        </is>
      </c>
      <c r="D15" s="11" t="inlineStr">
        <is>
          <t>巾木取替え</t>
        </is>
      </c>
      <c r="E15" s="3" t="n">
        <v>6.4</v>
      </c>
      <c r="F15" s="11" t="inlineStr">
        <is>
          <t>ｍ</t>
        </is>
      </c>
      <c r="G15" s="3" t="n">
        <v>1140</v>
      </c>
      <c r="H15" s="3" t="n"/>
      <c r="I15" s="3">
        <f>IF($A15="","",IF($S15&lt;&gt;"表示",0,IF($H15&gt;0,$H15,IFERROR($E15*$G15,0))))</f>
        <v/>
      </c>
      <c r="J15" s="3" t="n">
        <v>6.4</v>
      </c>
      <c r="K15" s="11" t="inlineStr">
        <is>
          <t>m</t>
        </is>
      </c>
      <c r="L15" s="3" t="n">
        <v>800</v>
      </c>
      <c r="M15" s="3" t="n"/>
      <c r="N15" s="3">
        <f>IF($A15="","",IF($S15&lt;&gt;"表示",0,IF($M15&gt;0,$M15,IFERROR($J15*$L15,0))))</f>
        <v/>
      </c>
      <c r="O15" s="3">
        <f>IF($A15="","",$I15-$N15)</f>
        <v/>
      </c>
      <c r="P15" s="17">
        <f>IF($A15="","",IFERROR($O15/$I15,0))</f>
        <v/>
      </c>
      <c r="Q15" s="11" t="n"/>
      <c r="R15" s="11" t="n"/>
      <c r="S15" s="11" t="inlineStr">
        <is>
          <t>表示</t>
        </is>
      </c>
      <c r="T15" s="11" t="n"/>
      <c r="U15" s="11" t="n"/>
      <c r="V15" s="11" t="n"/>
      <c r="W15" s="11" t="n"/>
      <c r="X15" s="11" t="n"/>
      <c r="Y15" s="11" t="n"/>
      <c r="Z15" s="11" t="n"/>
    </row>
    <row r="16" ht="26.75" customHeight="1">
      <c r="A16" s="11" t="n">
        <v>15</v>
      </c>
      <c r="B16" s="11" t="inlineStr">
        <is>
          <t>玄関ホール、廊下、階段室吹抜</t>
        </is>
      </c>
      <c r="C16" s="11" t="inlineStr">
        <is>
          <t>施工</t>
        </is>
      </c>
      <c r="D16" s="11" t="inlineStr">
        <is>
          <t>リフォーム階段（直14段）重ね貼り</t>
        </is>
      </c>
      <c r="E16" s="3" t="n">
        <v>1</v>
      </c>
      <c r="F16" s="11" t="inlineStr">
        <is>
          <t>式</t>
        </is>
      </c>
      <c r="G16" s="3" t="n"/>
      <c r="H16" s="3" t="n">
        <v>28500</v>
      </c>
      <c r="I16" s="3">
        <f>IF($A16="","",IF($S16&lt;&gt;"表示",0,IF($H16&gt;0,$H16,IFERROR($E16*$G16,0))))</f>
        <v/>
      </c>
      <c r="J16" s="3" t="n">
        <v>1</v>
      </c>
      <c r="K16" s="11" t="inlineStr">
        <is>
          <t>式</t>
        </is>
      </c>
      <c r="L16" s="3" t="n"/>
      <c r="M16" s="3" t="n">
        <v>20000</v>
      </c>
      <c r="N16" s="3">
        <f>IF($A16="","",IF($S16&lt;&gt;"表示",0,IF($M16&gt;0,$M16,IFERROR($J16*$L16,0))))</f>
        <v/>
      </c>
      <c r="O16" s="3">
        <f>IF($A16="","",$I16-$N16)</f>
        <v/>
      </c>
      <c r="P16" s="17">
        <f>IF($A16="","",IFERROR($O16/$I16,0))</f>
        <v/>
      </c>
      <c r="Q16" s="11" t="inlineStr">
        <is>
          <t>1人役</t>
        </is>
      </c>
      <c r="R16" s="11" t="n"/>
      <c r="S16" s="11" t="inlineStr">
        <is>
          <t>表示</t>
        </is>
      </c>
      <c r="T16" s="11" t="n"/>
      <c r="U16" s="11" t="n"/>
      <c r="V16" s="11" t="n"/>
      <c r="W16" s="11" t="n"/>
      <c r="X16" s="11" t="n"/>
      <c r="Y16" s="11" t="n"/>
      <c r="Z16" s="11" t="n"/>
    </row>
    <row r="17" ht="26.75" customHeight="1">
      <c r="A17" s="11" t="n">
        <v>16</v>
      </c>
      <c r="B17" s="11" t="inlineStr">
        <is>
          <t>玄関ホール、廊下、階段室吹抜</t>
        </is>
      </c>
      <c r="C17" s="11" t="inlineStr">
        <is>
          <t>施工</t>
        </is>
      </c>
      <c r="D17" s="11" t="inlineStr">
        <is>
          <t>既存玄関ドア撤去</t>
        </is>
      </c>
      <c r="E17" s="3" t="n">
        <v>1</v>
      </c>
      <c r="F17" s="11" t="inlineStr">
        <is>
          <t>式</t>
        </is>
      </c>
      <c r="G17" s="3" t="n"/>
      <c r="H17" s="3" t="n">
        <v>7100</v>
      </c>
      <c r="I17" s="3">
        <f>IF($A17="","",IF($S17&lt;&gt;"表示",0,IF($H17&gt;0,$H17,IFERROR($E17*$G17,0))))</f>
        <v/>
      </c>
      <c r="J17" s="3" t="n">
        <v>1</v>
      </c>
      <c r="K17" s="11" t="inlineStr">
        <is>
          <t>式</t>
        </is>
      </c>
      <c r="L17" s="3" t="n"/>
      <c r="M17" s="3" t="n">
        <v>5000</v>
      </c>
      <c r="N17" s="3">
        <f>IF($A17="","",IF($S17&lt;&gt;"表示",0,IF($M17&gt;0,$M17,IFERROR($J17*$L17,0))))</f>
        <v/>
      </c>
      <c r="O17" s="3">
        <f>IF($A17="","",$I17-$N17)</f>
        <v/>
      </c>
      <c r="P17" s="17">
        <f>IF($A17="","",IFERROR($O17/$I17,0))</f>
        <v/>
      </c>
      <c r="Q17" s="11" t="n"/>
      <c r="R17" s="11" t="n"/>
      <c r="S17" s="11" t="inlineStr">
        <is>
          <t>表示</t>
        </is>
      </c>
      <c r="T17" s="11" t="n"/>
      <c r="U17" s="11" t="n"/>
      <c r="V17" s="11" t="n"/>
      <c r="W17" s="11" t="n"/>
      <c r="X17" s="11" t="n"/>
      <c r="Y17" s="11" t="n"/>
      <c r="Z17" s="11" t="n"/>
    </row>
    <row r="18" ht="26.75" customHeight="1">
      <c r="A18" s="11" t="n">
        <v>17</v>
      </c>
      <c r="B18" s="11" t="inlineStr">
        <is>
          <t>玄関ホール、廊下、階段室吹抜</t>
        </is>
      </c>
      <c r="C18" s="11" t="inlineStr">
        <is>
          <t>施工</t>
        </is>
      </c>
      <c r="D18" s="11" t="inlineStr">
        <is>
          <t>玄関ドア（リフォームドア）取替え</t>
        </is>
      </c>
      <c r="E18" s="3" t="n">
        <v>1</v>
      </c>
      <c r="F18" s="11" t="inlineStr">
        <is>
          <t>式</t>
        </is>
      </c>
      <c r="G18" s="3" t="n"/>
      <c r="H18" s="3" t="n">
        <v>28500</v>
      </c>
      <c r="I18" s="3">
        <f>IF($A18="","",IF($S18&lt;&gt;"表示",0,IF($H18&gt;0,$H18,IFERROR($E18*$G18,0))))</f>
        <v/>
      </c>
      <c r="J18" s="3" t="n">
        <v>1</v>
      </c>
      <c r="K18" s="11" t="inlineStr">
        <is>
          <t>式</t>
        </is>
      </c>
      <c r="L18" s="3" t="n"/>
      <c r="M18" s="3" t="n">
        <v>20000</v>
      </c>
      <c r="N18" s="3">
        <f>IF($A18="","",IF($S18&lt;&gt;"表示",0,IF($M18&gt;0,$M18,IFERROR($J18*$L18,0))))</f>
        <v/>
      </c>
      <c r="O18" s="3">
        <f>IF($A18="","",$I18-$N18)</f>
        <v/>
      </c>
      <c r="P18" s="17">
        <f>IF($A18="","",IFERROR($O18/$I18,0))</f>
        <v/>
      </c>
      <c r="Q18" s="11" t="inlineStr">
        <is>
          <t>1人役</t>
        </is>
      </c>
      <c r="R18" s="11" t="n"/>
      <c r="S18" s="11" t="inlineStr">
        <is>
          <t>表示</t>
        </is>
      </c>
      <c r="T18" s="11" t="n"/>
      <c r="U18" s="11" t="n"/>
      <c r="V18" s="11" t="n"/>
      <c r="W18" s="11" t="n"/>
      <c r="X18" s="11" t="n"/>
      <c r="Y18" s="11" t="n"/>
      <c r="Z18" s="11" t="n"/>
    </row>
    <row r="19" ht="26.75" customHeight="1">
      <c r="A19" s="11" t="n">
        <v>18</v>
      </c>
      <c r="B19" s="11" t="inlineStr">
        <is>
          <t>玄関ホール、廊下、階段室吹抜</t>
        </is>
      </c>
      <c r="C19" s="11" t="inlineStr">
        <is>
          <t>施工</t>
        </is>
      </c>
      <c r="D19" s="11" t="inlineStr">
        <is>
          <t>玄関収納取替え</t>
        </is>
      </c>
      <c r="E19" s="3" t="n">
        <v>1</v>
      </c>
      <c r="F19" s="11" t="inlineStr">
        <is>
          <t>式</t>
        </is>
      </c>
      <c r="G19" s="3" t="n"/>
      <c r="H19" s="3" t="n">
        <v>11400</v>
      </c>
      <c r="I19" s="3">
        <f>IF($A19="","",IF($S19&lt;&gt;"表示",0,IF($H19&gt;0,$H19,IFERROR($E19*$G19,0))))</f>
        <v/>
      </c>
      <c r="J19" s="3" t="n">
        <v>1</v>
      </c>
      <c r="K19" s="11" t="inlineStr">
        <is>
          <t>式</t>
        </is>
      </c>
      <c r="L19" s="3" t="n"/>
      <c r="M19" s="3" t="n">
        <v>8000</v>
      </c>
      <c r="N19" s="3">
        <f>IF($A19="","",IF($S19&lt;&gt;"表示",0,IF($M19&gt;0,$M19,IFERROR($J19*$L19,0))))</f>
        <v/>
      </c>
      <c r="O19" s="3">
        <f>IF($A19="","",$I19-$N19)</f>
        <v/>
      </c>
      <c r="P19" s="17">
        <f>IF($A19="","",IFERROR($O19/$I19,0))</f>
        <v/>
      </c>
      <c r="Q19" s="11" t="inlineStr">
        <is>
          <t>1/3人役</t>
        </is>
      </c>
      <c r="R19" s="11" t="n"/>
      <c r="S19" s="11" t="inlineStr">
        <is>
          <t>表示</t>
        </is>
      </c>
      <c r="T19" s="11" t="n"/>
      <c r="U19" s="11" t="n"/>
      <c r="V19" s="11" t="n"/>
      <c r="W19" s="11" t="n"/>
      <c r="X19" s="11" t="n"/>
      <c r="Y19" s="11" t="n"/>
      <c r="Z19" s="11" t="n"/>
    </row>
    <row r="20" ht="26.75" customHeight="1">
      <c r="A20" s="11" t="n">
        <v>19</v>
      </c>
      <c r="B20" s="11" t="inlineStr">
        <is>
          <t>玄関ホール、廊下、階段室吹抜</t>
        </is>
      </c>
      <c r="C20" s="11" t="inlineStr">
        <is>
          <t>施工</t>
        </is>
      </c>
      <c r="D20" s="11" t="inlineStr">
        <is>
          <t>天井　ビニールクロス貼替え</t>
        </is>
      </c>
      <c r="E20" s="3" t="n">
        <v>7.3</v>
      </c>
      <c r="F20" s="11" t="inlineStr">
        <is>
          <t>㎡</t>
        </is>
      </c>
      <c r="G20" s="3" t="n">
        <v>1140</v>
      </c>
      <c r="H20" s="3" t="n"/>
      <c r="I20" s="3">
        <f>IF($A20="","",IF($S20&lt;&gt;"表示",0,IF($H20&gt;0,$H20,IFERROR($E20*$G20,0))))</f>
        <v/>
      </c>
      <c r="J20" s="3" t="n">
        <v>7.3</v>
      </c>
      <c r="K20" s="11" t="inlineStr">
        <is>
          <t>㎡</t>
        </is>
      </c>
      <c r="L20" s="3" t="n">
        <v>650</v>
      </c>
      <c r="M20" s="3" t="n"/>
      <c r="N20" s="3">
        <f>IF($A20="","",IF($S20&lt;&gt;"表示",0,IF($M20&gt;0,$M20,IFERROR($J20*$L20,0))))</f>
        <v/>
      </c>
      <c r="O20" s="3">
        <f>IF($A20="","",$I20-$N20)</f>
        <v/>
      </c>
      <c r="P20" s="17">
        <f>IF($A20="","",IFERROR($O20/$I20,0))</f>
        <v/>
      </c>
      <c r="Q20" s="11" t="inlineStr">
        <is>
          <t>材工共</t>
        </is>
      </c>
      <c r="R20" s="11" t="inlineStr">
        <is>
          <t>量産品　SP</t>
        </is>
      </c>
      <c r="S20" s="11" t="inlineStr">
        <is>
          <t>表示</t>
        </is>
      </c>
      <c r="T20" s="11" t="n"/>
      <c r="U20" s="11" t="n"/>
      <c r="V20" s="11" t="n"/>
      <c r="W20" s="11" t="n"/>
      <c r="X20" s="11" t="n"/>
      <c r="Y20" s="11" t="n"/>
      <c r="Z20" s="11" t="n"/>
    </row>
    <row r="21" ht="26.75" customHeight="1">
      <c r="A21" s="11" t="n">
        <v>20</v>
      </c>
      <c r="B21" s="11" t="inlineStr">
        <is>
          <t>玄関ホール、廊下、階段室吹抜</t>
        </is>
      </c>
      <c r="C21" s="11" t="inlineStr">
        <is>
          <t>施工</t>
        </is>
      </c>
      <c r="D21" s="11" t="inlineStr">
        <is>
          <t>壁 〃</t>
        </is>
      </c>
      <c r="E21" s="3" t="n">
        <v>50</v>
      </c>
      <c r="F21" s="11" t="inlineStr">
        <is>
          <t>㎡</t>
        </is>
      </c>
      <c r="G21" s="3" t="n">
        <v>1140</v>
      </c>
      <c r="H21" s="3" t="n"/>
      <c r="I21" s="3">
        <f>IF($A21="","",IF($S21&lt;&gt;"表示",0,IF($H21&gt;0,$H21,IFERROR($E21*$G21,0))))</f>
        <v/>
      </c>
      <c r="J21" s="3" t="n">
        <v>50</v>
      </c>
      <c r="K21" s="11" t="inlineStr">
        <is>
          <t>㎡</t>
        </is>
      </c>
      <c r="L21" s="3" t="n">
        <v>650</v>
      </c>
      <c r="M21" s="3" t="n"/>
      <c r="N21" s="3">
        <f>IF($A21="","",IF($S21&lt;&gt;"表示",0,IF($M21&gt;0,$M21,IFERROR($J21*$L21,0))))</f>
        <v/>
      </c>
      <c r="O21" s="3">
        <f>IF($A21="","",$I21-$N21)</f>
        <v/>
      </c>
      <c r="P21" s="17">
        <f>IF($A21="","",IFERROR($O21/$I21,0))</f>
        <v/>
      </c>
      <c r="Q21" s="11" t="inlineStr">
        <is>
          <t>材工共</t>
        </is>
      </c>
      <c r="R21" s="11" t="inlineStr">
        <is>
          <t>量産品　SP</t>
        </is>
      </c>
      <c r="S21" s="11" t="inlineStr">
        <is>
          <t>表示</t>
        </is>
      </c>
      <c r="T21" s="11" t="n"/>
      <c r="U21" s="11" t="n"/>
      <c r="V21" s="11" t="n"/>
      <c r="W21" s="11" t="n"/>
      <c r="X21" s="11" t="n"/>
      <c r="Y21" s="11" t="n"/>
      <c r="Z21" s="11" t="n"/>
    </row>
    <row r="22" ht="26.75" customHeight="1">
      <c r="A22" s="11" t="n">
        <v>21</v>
      </c>
      <c r="B22" s="11" t="inlineStr">
        <is>
          <t>玄関ホール、廊下、階段室吹抜</t>
        </is>
      </c>
      <c r="C22" s="11" t="inlineStr">
        <is>
          <t>施工</t>
        </is>
      </c>
      <c r="D22" s="11" t="inlineStr">
        <is>
          <t>木枠塗装</t>
        </is>
      </c>
      <c r="E22" s="3" t="n">
        <v>1</v>
      </c>
      <c r="F22" s="11" t="inlineStr">
        <is>
          <t>式</t>
        </is>
      </c>
      <c r="G22" s="3" t="n"/>
      <c r="H22" s="3" t="n">
        <v>11400</v>
      </c>
      <c r="I22" s="3">
        <f>IF($A22="","",IF($S22&lt;&gt;"表示",0,IF($H22&gt;0,$H22,IFERROR($E22*$G22,0))))</f>
        <v/>
      </c>
      <c r="J22" s="3" t="n">
        <v>1</v>
      </c>
      <c r="K22" s="11" t="inlineStr">
        <is>
          <t>式</t>
        </is>
      </c>
      <c r="L22" s="3" t="n"/>
      <c r="M22" s="3" t="n">
        <v>8000</v>
      </c>
      <c r="N22" s="3">
        <f>IF($A22="","",IF($S22&lt;&gt;"表示",0,IF($M22&gt;0,$M22,IFERROR($J22*$L22,0))))</f>
        <v/>
      </c>
      <c r="O22" s="3">
        <f>IF($A22="","",$I22-$N22)</f>
        <v/>
      </c>
      <c r="P22" s="17">
        <f>IF($A22="","",IFERROR($O22/$I22,0))</f>
        <v/>
      </c>
      <c r="Q22" s="11" t="inlineStr">
        <is>
          <t>1/3人役</t>
        </is>
      </c>
      <c r="R22" s="11" t="n"/>
      <c r="S22" s="11" t="inlineStr">
        <is>
          <t>表示</t>
        </is>
      </c>
      <c r="T22" s="11" t="n"/>
      <c r="U22" s="11" t="n"/>
      <c r="V22" s="11" t="n"/>
      <c r="W22" s="11" t="n"/>
      <c r="X22" s="11" t="n"/>
      <c r="Y22" s="11" t="n"/>
      <c r="Z22" s="11" t="n"/>
    </row>
    <row r="23" ht="26.75" customHeight="1">
      <c r="A23" s="11" t="n">
        <v>22</v>
      </c>
      <c r="B23" s="11" t="inlineStr">
        <is>
          <t>玄関ホール、廊下、階段室吹抜</t>
        </is>
      </c>
      <c r="C23" s="11" t="inlineStr">
        <is>
          <t>施工</t>
        </is>
      </c>
      <c r="D23" s="11" t="inlineStr">
        <is>
          <t>プレート取替え</t>
        </is>
      </c>
      <c r="E23" s="3" t="n">
        <v>3</v>
      </c>
      <c r="F23" s="11" t="inlineStr">
        <is>
          <t>セット</t>
        </is>
      </c>
      <c r="G23" s="3" t="n">
        <v>850</v>
      </c>
      <c r="H23" s="3" t="n"/>
      <c r="I23" s="3">
        <f>IF($A23="","",IF($S23&lt;&gt;"表示",0,IF($H23&gt;0,$H23,IFERROR($E23*$G23,0))))</f>
        <v/>
      </c>
      <c r="J23" s="3" t="n">
        <v>3</v>
      </c>
      <c r="K23" s="11" t="inlineStr">
        <is>
          <t>セット</t>
        </is>
      </c>
      <c r="L23" s="3" t="n">
        <v>600</v>
      </c>
      <c r="M23" s="3" t="n"/>
      <c r="N23" s="3">
        <f>IF($A23="","",IF($S23&lt;&gt;"表示",0,IF($M23&gt;0,$M23,IFERROR($J23*$L23,0))))</f>
        <v/>
      </c>
      <c r="O23" s="3">
        <f>IF($A23="","",$I23-$N23)</f>
        <v/>
      </c>
      <c r="P23" s="17">
        <f>IF($A23="","",IFERROR($O23/$I23,0))</f>
        <v/>
      </c>
      <c r="Q23" s="11" t="inlineStr">
        <is>
          <t>材工共</t>
        </is>
      </c>
      <c r="R23" s="11" t="n"/>
      <c r="S23" s="11" t="inlineStr">
        <is>
          <t>表示</t>
        </is>
      </c>
      <c r="T23" s="11" t="n"/>
      <c r="U23" s="11" t="n"/>
      <c r="V23" s="11" t="n"/>
      <c r="W23" s="11" t="n"/>
      <c r="X23" s="11" t="n"/>
      <c r="Y23" s="11" t="n"/>
      <c r="Z23" s="11" t="n"/>
    </row>
    <row r="24" ht="26.75" customHeight="1">
      <c r="A24" s="11" t="n">
        <v>23</v>
      </c>
      <c r="B24" s="11" t="inlineStr">
        <is>
          <t>LDK</t>
        </is>
      </c>
      <c r="C24" s="11" t="inlineStr">
        <is>
          <t>材料</t>
        </is>
      </c>
      <c r="D24" s="11" t="inlineStr">
        <is>
          <t>床　フローリング</t>
        </is>
      </c>
      <c r="E24" s="3" t="n">
        <v>7</v>
      </c>
      <c r="F24" s="11" t="inlineStr">
        <is>
          <t>梱</t>
        </is>
      </c>
      <c r="G24" s="3" t="n">
        <v>8000</v>
      </c>
      <c r="H24" s="3" t="n"/>
      <c r="I24" s="3">
        <f>IF($A24="","",IF($S24&lt;&gt;"表示",0,IF($H24&gt;0,$H24,IFERROR($E24*$G24,0))))</f>
        <v/>
      </c>
      <c r="J24" s="3" t="n">
        <v>7</v>
      </c>
      <c r="K24" s="11" t="inlineStr">
        <is>
          <t>梱</t>
        </is>
      </c>
      <c r="L24" s="3" t="n">
        <v>4550</v>
      </c>
      <c r="M24" s="3" t="n"/>
      <c r="N24" s="3">
        <f>IF($A24="","",IF($S24&lt;&gt;"表示",0,IF($M24&gt;0,$M24,IFERROR($J24*$L24,0))))</f>
        <v/>
      </c>
      <c r="O24" s="3">
        <f>IF($A24="","",$I24-$N24)</f>
        <v/>
      </c>
      <c r="P24" s="17">
        <f>IF($A24="","",IFERROR($O24/$I24,0))</f>
        <v/>
      </c>
      <c r="Q24" s="11" t="inlineStr">
        <is>
          <t>定価13,000円/梱（3.3㎡）×35％</t>
        </is>
      </c>
      <c r="R24" s="11" t="inlineStr">
        <is>
          <t>ノダ　ウォークフィット6　6.3㎜厚</t>
        </is>
      </c>
      <c r="S24" s="11" t="inlineStr">
        <is>
          <t>表示</t>
        </is>
      </c>
      <c r="T24" s="11" t="n"/>
      <c r="U24" s="11" t="n"/>
      <c r="V24" s="11" t="n"/>
      <c r="W24" s="11" t="n"/>
      <c r="X24" s="11" t="n"/>
      <c r="Y24" s="11" t="n"/>
      <c r="Z24" s="11" t="n"/>
    </row>
    <row r="25" ht="26.75" customHeight="1">
      <c r="A25" s="11" t="n">
        <v>24</v>
      </c>
      <c r="B25" s="11" t="inlineStr">
        <is>
          <t>LDK</t>
        </is>
      </c>
      <c r="C25" s="11" t="inlineStr">
        <is>
          <t>材料</t>
        </is>
      </c>
      <c r="D25" s="11" t="inlineStr">
        <is>
          <t>巾木</t>
        </is>
      </c>
      <c r="E25" s="3" t="n">
        <v>4</v>
      </c>
      <c r="F25" s="11" t="inlineStr">
        <is>
          <t>本</t>
        </is>
      </c>
      <c r="G25" s="3" t="n">
        <v>900</v>
      </c>
      <c r="H25" s="3" t="n"/>
      <c r="I25" s="3">
        <f>IF($A25="","",IF($S25&lt;&gt;"表示",0,IF($H25&gt;0,$H25,IFERROR($E25*$G25,0))))</f>
        <v/>
      </c>
      <c r="J25" s="3" t="n">
        <v>4</v>
      </c>
      <c r="K25" s="11" t="inlineStr">
        <is>
          <t>本</t>
        </is>
      </c>
      <c r="L25" s="3" t="n">
        <v>735</v>
      </c>
      <c r="M25" s="3" t="n"/>
      <c r="N25" s="3">
        <f>IF($A25="","",IF($S25&lt;&gt;"表示",0,IF($M25&gt;0,$M25,IFERROR($J25*$L25,0))))</f>
        <v/>
      </c>
      <c r="O25" s="3">
        <f>IF($A25="","",$I25-$N25)</f>
        <v/>
      </c>
      <c r="P25" s="17">
        <f>IF($A25="","",IFERROR($O25/$I25,0))</f>
        <v/>
      </c>
      <c r="Q25" s="11" t="inlineStr">
        <is>
          <t>定価2,100円/本×35％</t>
        </is>
      </c>
      <c r="R25" s="11" t="inlineStr">
        <is>
          <t>ノダ　巾木C　7×60×3,950㎜（3本入） ☆</t>
        </is>
      </c>
      <c r="S25" s="11" t="inlineStr">
        <is>
          <t>表示</t>
        </is>
      </c>
      <c r="T25" s="11" t="n"/>
      <c r="U25" s="11" t="n"/>
      <c r="V25" s="11" t="n"/>
      <c r="W25" s="11" t="n"/>
      <c r="X25" s="11" t="n"/>
      <c r="Y25" s="11" t="n"/>
      <c r="Z25" s="11" t="n"/>
    </row>
    <row r="26" ht="26.75" customHeight="1">
      <c r="A26" s="11" t="n">
        <v>25</v>
      </c>
      <c r="B26" s="11" t="inlineStr">
        <is>
          <t>LDK</t>
        </is>
      </c>
      <c r="C26" s="11" t="inlineStr">
        <is>
          <t>材料</t>
        </is>
      </c>
      <c r="D26" s="11" t="inlineStr">
        <is>
          <t>リビング片開き戸（ドアのみガラス入）</t>
        </is>
      </c>
      <c r="E26" s="3" t="n">
        <v>1</v>
      </c>
      <c r="F26" s="11" t="inlineStr">
        <is>
          <t>セット</t>
        </is>
      </c>
      <c r="G26" s="3" t="n">
        <v>57300</v>
      </c>
      <c r="H26" s="3" t="n"/>
      <c r="I26" s="3">
        <f>IF($A26="","",IF($S26&lt;&gt;"表示",0,IF($H26&gt;0,$H26,IFERROR($E26*$G26,0))))</f>
        <v/>
      </c>
      <c r="J26" s="3" t="n">
        <v>1</v>
      </c>
      <c r="K26" s="11" t="inlineStr">
        <is>
          <t>セット</t>
        </is>
      </c>
      <c r="L26" s="3" t="n">
        <v>43000</v>
      </c>
      <c r="M26" s="3" t="n"/>
      <c r="N26" s="3">
        <f>IF($A26="","",IF($S26&lt;&gt;"表示",0,IF($M26&gt;0,$M26,IFERROR($J26*$L26,0))))</f>
        <v/>
      </c>
      <c r="O26" s="3">
        <f>IF($A26="","",$I26-$N26)</f>
        <v/>
      </c>
      <c r="P26" s="17">
        <f>IF($A26="","",IFERROR($O26/$I26,0))</f>
        <v/>
      </c>
      <c r="Q26" s="11" t="n"/>
      <c r="R26" s="11" t="inlineStr">
        <is>
          <t>別注　フラッシュ框ドア（ガラス入）金物含む</t>
        </is>
      </c>
      <c r="S26" s="11" t="inlineStr">
        <is>
          <t>表示</t>
        </is>
      </c>
      <c r="T26" s="11" t="n"/>
      <c r="U26" s="11" t="n"/>
      <c r="V26" s="11" t="n"/>
      <c r="W26" s="11" t="n"/>
      <c r="X26" s="11" t="n"/>
      <c r="Y26" s="11" t="n"/>
      <c r="Z26" s="11" t="n"/>
    </row>
    <row r="27" ht="26.75" customHeight="1">
      <c r="A27" s="11" t="n">
        <v>26</v>
      </c>
      <c r="B27" s="11" t="inlineStr">
        <is>
          <t>LDK</t>
        </is>
      </c>
      <c r="C27" s="11" t="inlineStr">
        <is>
          <t>材料</t>
        </is>
      </c>
      <c r="D27" s="11" t="inlineStr">
        <is>
          <t>〃 （ドアのみ）</t>
        </is>
      </c>
      <c r="E27" s="3" t="n">
        <v>1</v>
      </c>
      <c r="F27" s="11" t="inlineStr">
        <is>
          <t>セット</t>
        </is>
      </c>
      <c r="G27" s="3" t="n">
        <v>24000</v>
      </c>
      <c r="H27" s="3" t="n"/>
      <c r="I27" s="3">
        <f>IF($A27="","",IF($S27&lt;&gt;"表示",0,IF($H27&gt;0,$H27,IFERROR($E27*$G27,0))))</f>
        <v/>
      </c>
      <c r="J27" s="3" t="n">
        <v>1</v>
      </c>
      <c r="K27" s="11" t="inlineStr">
        <is>
          <t>セット</t>
        </is>
      </c>
      <c r="L27" s="3" t="n">
        <v>18000</v>
      </c>
      <c r="M27" s="3" t="n"/>
      <c r="N27" s="3">
        <f>IF($A27="","",IF($S27&lt;&gt;"表示",0,IF($M27&gt;0,$M27,IFERROR($J27*$L27,0))))</f>
        <v/>
      </c>
      <c r="O27" s="3">
        <f>IF($A27="","",$I27-$N27)</f>
        <v/>
      </c>
      <c r="P27" s="17">
        <f>IF($A27="","",IFERROR($O27/$I27,0))</f>
        <v/>
      </c>
      <c r="Q27" s="11" t="n"/>
      <c r="R27" s="11" t="inlineStr">
        <is>
          <t>別注　プリント貼り　フラッシュドア　金物含む</t>
        </is>
      </c>
      <c r="S27" s="11" t="inlineStr">
        <is>
          <t>表示</t>
        </is>
      </c>
      <c r="T27" s="11" t="n"/>
      <c r="U27" s="11" t="n"/>
      <c r="V27" s="11" t="n"/>
      <c r="W27" s="11" t="n"/>
      <c r="X27" s="11" t="n"/>
      <c r="Y27" s="11" t="n"/>
      <c r="Z27" s="11" t="n"/>
    </row>
    <row r="28" ht="26.75" customHeight="1">
      <c r="A28" s="11" t="n">
        <v>27</v>
      </c>
      <c r="B28" s="11" t="inlineStr">
        <is>
          <t>LDK</t>
        </is>
      </c>
      <c r="C28" s="11" t="inlineStr">
        <is>
          <t>材料</t>
        </is>
      </c>
      <c r="D28" s="11" t="inlineStr">
        <is>
          <t>システムキッチン　I型2550</t>
        </is>
      </c>
      <c r="E28" s="3" t="n">
        <v>1</v>
      </c>
      <c r="F28" s="11" t="inlineStr">
        <is>
          <t>セット</t>
        </is>
      </c>
      <c r="G28" s="3" t="n">
        <v>261600</v>
      </c>
      <c r="H28" s="3" t="n"/>
      <c r="I28" s="3">
        <f>IF($A28="","",IF($S28&lt;&gt;"表示",0,IF($H28&gt;0,$H28,IFERROR($E28*$G28,0))))</f>
        <v/>
      </c>
      <c r="J28" s="3" t="n">
        <v>1</v>
      </c>
      <c r="K28" s="11" t="inlineStr">
        <is>
          <t>セット</t>
        </is>
      </c>
      <c r="L28" s="3" t="n">
        <v>196230</v>
      </c>
      <c r="M28" s="3" t="n"/>
      <c r="N28" s="3">
        <f>IF($A28="","",IF($S28&lt;&gt;"表示",0,IF($M28&gt;0,$M28,IFERROR($J28*$L28,0))))</f>
        <v/>
      </c>
      <c r="O28" s="3">
        <f>IF($A28="","",$I28-$N28)</f>
        <v/>
      </c>
      <c r="P28" s="17">
        <f>IF($A28="","",IFERROR($O28/$I28,0))</f>
        <v/>
      </c>
      <c r="Q28" s="11" t="inlineStr">
        <is>
          <t>定価633,000円×31％</t>
        </is>
      </c>
      <c r="R28" s="11" t="inlineStr">
        <is>
          <t>トクラス　Bb　スライドタイプ　扉E/C ☆</t>
        </is>
      </c>
      <c r="S28" s="11" t="inlineStr">
        <is>
          <t>表示</t>
        </is>
      </c>
      <c r="T28" s="11" t="n"/>
      <c r="U28" s="11" t="n"/>
      <c r="V28" s="11" t="n"/>
      <c r="W28" s="11" t="n"/>
      <c r="X28" s="11" t="n"/>
      <c r="Y28" s="11" t="n"/>
      <c r="Z28" s="11" t="n"/>
    </row>
    <row r="29" ht="26.75" customHeight="1">
      <c r="A29" s="11" t="n">
        <v>28</v>
      </c>
      <c r="B29" s="11" t="inlineStr">
        <is>
          <t>LDK</t>
        </is>
      </c>
      <c r="C29" s="11" t="inlineStr">
        <is>
          <t>材料</t>
        </is>
      </c>
      <c r="D29" s="11" t="inlineStr">
        <is>
          <t>キッチンパネル</t>
        </is>
      </c>
      <c r="E29" s="3" t="n">
        <v>2</v>
      </c>
      <c r="F29" s="11" t="inlineStr">
        <is>
          <t>枚</t>
        </is>
      </c>
      <c r="G29" s="3" t="n">
        <v>12600</v>
      </c>
      <c r="H29" s="3" t="n"/>
      <c r="I29" s="3">
        <f>IF($A29="","",IF($S29&lt;&gt;"表示",0,IF($H29&gt;0,$H29,IFERROR($E29*$G29,0))))</f>
        <v/>
      </c>
      <c r="J29" s="3" t="n">
        <v>2</v>
      </c>
      <c r="K29" s="11" t="inlineStr">
        <is>
          <t>枚</t>
        </is>
      </c>
      <c r="L29" s="3" t="n">
        <v>9464</v>
      </c>
      <c r="M29" s="3" t="n"/>
      <c r="N29" s="3">
        <f>IF($A29="","",IF($S29&lt;&gt;"表示",0,IF($M29&gt;0,$M29,IFERROR($J29*$L29,0))))</f>
        <v/>
      </c>
      <c r="O29" s="3">
        <f>IF($A29="","",$I29-$N29)</f>
        <v/>
      </c>
      <c r="P29" s="17">
        <f>IF($A29="","",IFERROR($O29/$I29,0))</f>
        <v/>
      </c>
      <c r="Q29" s="11" t="inlineStr">
        <is>
          <t>定価18,200円/枚×52％マ</t>
        </is>
      </c>
      <c r="R29" s="11" t="inlineStr">
        <is>
          <t>アイカ工業　セラール　3×8 ☆</t>
        </is>
      </c>
      <c r="S29" s="11" t="inlineStr">
        <is>
          <t>表示</t>
        </is>
      </c>
      <c r="T29" s="11" t="n"/>
      <c r="U29" s="11" t="n"/>
      <c r="V29" s="11" t="n"/>
      <c r="W29" s="11" t="n"/>
      <c r="X29" s="11" t="n"/>
      <c r="Y29" s="11" t="n"/>
      <c r="Z29" s="11" t="n"/>
    </row>
    <row r="30" ht="26.75" customHeight="1">
      <c r="A30" s="11" t="n">
        <v>29</v>
      </c>
      <c r="B30" s="11" t="inlineStr">
        <is>
          <t>LDK</t>
        </is>
      </c>
      <c r="C30" s="11" t="inlineStr">
        <is>
          <t>材料</t>
        </is>
      </c>
      <c r="D30" s="11" t="inlineStr">
        <is>
          <t>〃 施工部材</t>
        </is>
      </c>
      <c r="E30" s="3" t="n">
        <v>1</v>
      </c>
      <c r="F30" s="11" t="inlineStr">
        <is>
          <t>セット</t>
        </is>
      </c>
      <c r="G30" s="3" t="n">
        <v>6500</v>
      </c>
      <c r="H30" s="3" t="n"/>
      <c r="I30" s="3">
        <f>IF($A30="","",IF($S30&lt;&gt;"表示",0,IF($H30&gt;0,$H30,IFERROR($E30*$G30,0))))</f>
        <v/>
      </c>
      <c r="J30" s="3" t="n">
        <v>1</v>
      </c>
      <c r="K30" s="11" t="inlineStr">
        <is>
          <t>セット</t>
        </is>
      </c>
      <c r="L30" s="3" t="n">
        <v>4929</v>
      </c>
      <c r="M30" s="3" t="n"/>
      <c r="N30" s="3">
        <f>IF($A30="","",IF($S30&lt;&gt;"表示",0,IF($M30&gt;0,$M30,IFERROR($J30*$L30,0))))</f>
        <v/>
      </c>
      <c r="O30" s="3">
        <f>IF($A30="","",$I30-$N30)</f>
        <v/>
      </c>
      <c r="P30" s="17">
        <f>IF($A30="","",IFERROR($O30/$I30,0))</f>
        <v/>
      </c>
      <c r="Q30" s="11" t="inlineStr">
        <is>
          <t>定価9,300円×53％</t>
        </is>
      </c>
      <c r="R30" s="11" t="inlineStr">
        <is>
          <t>専用接着剤　見切りジョイナー（2本） ☆</t>
        </is>
      </c>
      <c r="S30" s="11" t="inlineStr">
        <is>
          <t>表示</t>
        </is>
      </c>
      <c r="T30" s="11" t="n"/>
      <c r="U30" s="11" t="n"/>
      <c r="V30" s="11" t="n"/>
      <c r="W30" s="11" t="n"/>
      <c r="X30" s="11" t="n"/>
      <c r="Y30" s="11" t="n"/>
      <c r="Z30" s="11" t="n"/>
    </row>
    <row r="31" ht="26.75" customHeight="1">
      <c r="A31" s="11" t="n">
        <v>30</v>
      </c>
      <c r="B31" s="11" t="inlineStr">
        <is>
          <t>LDK</t>
        </is>
      </c>
      <c r="C31" s="11" t="inlineStr">
        <is>
          <t>材料</t>
        </is>
      </c>
      <c r="D31" s="11" t="inlineStr">
        <is>
          <t>〃 下地材</t>
        </is>
      </c>
      <c r="E31" s="3" t="n">
        <v>1</v>
      </c>
      <c r="F31" s="11" t="inlineStr">
        <is>
          <t>式</t>
        </is>
      </c>
      <c r="G31" s="3" t="n"/>
      <c r="H31" s="3" t="n">
        <v>13300</v>
      </c>
      <c r="I31" s="3">
        <f>IF($A31="","",IF($S31&lt;&gt;"表示",0,IF($H31&gt;0,$H31,IFERROR($E31*$G31,0))))</f>
        <v/>
      </c>
      <c r="J31" s="3" t="n">
        <v>1</v>
      </c>
      <c r="K31" s="11" t="inlineStr">
        <is>
          <t>式</t>
        </is>
      </c>
      <c r="L31" s="3" t="n"/>
      <c r="M31" s="3" t="n">
        <v>10000</v>
      </c>
      <c r="N31" s="3">
        <f>IF($A31="","",IF($S31&lt;&gt;"表示",0,IF($M31&gt;0,$M31,IFERROR($J31*$L31,0))))</f>
        <v/>
      </c>
      <c r="O31" s="3">
        <f>IF($A31="","",$I31-$N31)</f>
        <v/>
      </c>
      <c r="P31" s="17">
        <f>IF($A31="","",IFERROR($O31/$I31,0))</f>
        <v/>
      </c>
      <c r="Q31" s="11" t="n"/>
      <c r="R31" s="11" t="inlineStr">
        <is>
          <t>合板及び銅縁材他</t>
        </is>
      </c>
      <c r="S31" s="11" t="inlineStr">
        <is>
          <t>表示</t>
        </is>
      </c>
      <c r="T31" s="11" t="n"/>
      <c r="U31" s="11" t="n"/>
      <c r="V31" s="11" t="n"/>
      <c r="W31" s="11" t="n"/>
      <c r="X31" s="11" t="n"/>
      <c r="Y31" s="11" t="n"/>
      <c r="Z31" s="11" t="n"/>
    </row>
    <row r="32" ht="26.75" customHeight="1">
      <c r="A32" s="11" t="n">
        <v>31</v>
      </c>
      <c r="B32" s="11" t="inlineStr">
        <is>
          <t>LDK</t>
        </is>
      </c>
      <c r="C32" s="11" t="inlineStr">
        <is>
          <t>材料</t>
        </is>
      </c>
      <c r="D32" s="11" t="inlineStr">
        <is>
          <t>木枠塗装剤ウ</t>
        </is>
      </c>
      <c r="E32" s="3" t="n">
        <v>1</v>
      </c>
      <c r="F32" s="11" t="inlineStr">
        <is>
          <t>式</t>
        </is>
      </c>
      <c r="G32" s="3" t="n"/>
      <c r="H32" s="3" t="n">
        <v>10600</v>
      </c>
      <c r="I32" s="3">
        <f>IF($A32="","",IF($S32&lt;&gt;"表示",0,IF($H32&gt;0,$H32,IFERROR($E32*$G32,0))))</f>
        <v/>
      </c>
      <c r="J32" s="3" t="n">
        <v>1</v>
      </c>
      <c r="K32" s="11" t="inlineStr">
        <is>
          <t>式</t>
        </is>
      </c>
      <c r="L32" s="3" t="n"/>
      <c r="M32" s="3" t="n">
        <v>8000</v>
      </c>
      <c r="N32" s="3">
        <f>IF($A32="","",IF($S32&lt;&gt;"表示",0,IF($M32&gt;0,$M32,IFERROR($J32*$L32,0))))</f>
        <v/>
      </c>
      <c r="O32" s="3">
        <f>IF($A32="","",$I32-$N32)</f>
        <v/>
      </c>
      <c r="P32" s="17">
        <f>IF($A32="","",IFERROR($O32/$I32,0))</f>
        <v/>
      </c>
      <c r="Q32" s="11" t="n"/>
      <c r="R32" s="11" t="n"/>
      <c r="S32" s="11" t="inlineStr">
        <is>
          <t>表示</t>
        </is>
      </c>
      <c r="T32" s="11" t="n"/>
      <c r="U32" s="11" t="n"/>
      <c r="V32" s="11" t="n"/>
      <c r="W32" s="11" t="n"/>
      <c r="X32" s="11" t="n"/>
      <c r="Y32" s="11" t="n"/>
      <c r="Z32" s="11" t="n"/>
    </row>
    <row r="33" ht="26.75" customHeight="1">
      <c r="A33" s="11" t="n">
        <v>32</v>
      </c>
      <c r="B33" s="11" t="inlineStr">
        <is>
          <t>LDK</t>
        </is>
      </c>
      <c r="C33" s="11" t="inlineStr">
        <is>
          <t>施工</t>
        </is>
      </c>
      <c r="D33" s="11" t="inlineStr">
        <is>
          <t>床　フローリング重ね貼り</t>
        </is>
      </c>
      <c r="E33" s="3" t="n">
        <v>23.2</v>
      </c>
      <c r="F33" s="11" t="inlineStr">
        <is>
          <t>㎡</t>
        </is>
      </c>
      <c r="G33" s="3" t="n">
        <v>2140</v>
      </c>
      <c r="H33" s="3" t="n"/>
      <c r="I33" s="3">
        <f>IF($A33="","",IF($S33&lt;&gt;"表示",0,IF($H33&gt;0,$H33,IFERROR($E33*$G33,0))))</f>
        <v/>
      </c>
      <c r="J33" s="3" t="n">
        <v>23.2</v>
      </c>
      <c r="K33" s="11" t="inlineStr">
        <is>
          <t>㎡</t>
        </is>
      </c>
      <c r="L33" s="3" t="n">
        <v>1500</v>
      </c>
      <c r="M33" s="3" t="n"/>
      <c r="N33" s="3">
        <f>IF($A33="","",IF($S33&lt;&gt;"表示",0,IF($M33&gt;0,$M33,IFERROR($J33*$L33,0))))</f>
        <v/>
      </c>
      <c r="O33" s="3">
        <f>IF($A33="","",$I33-$N33)</f>
        <v/>
      </c>
      <c r="P33" s="17">
        <f>IF($A33="","",IFERROR($O33/$I33,0))</f>
        <v/>
      </c>
      <c r="Q33" s="11" t="n"/>
      <c r="R33" s="11" t="n"/>
      <c r="S33" s="11" t="inlineStr">
        <is>
          <t>表示</t>
        </is>
      </c>
      <c r="T33" s="11" t="n"/>
      <c r="U33" s="11" t="n"/>
      <c r="V33" s="11" t="n"/>
      <c r="W33" s="11" t="n"/>
      <c r="X33" s="11" t="n"/>
      <c r="Y33" s="11" t="n"/>
      <c r="Z33" s="11" t="n"/>
    </row>
    <row r="34" ht="26.75" customHeight="1">
      <c r="A34" s="11" t="n">
        <v>33</v>
      </c>
      <c r="B34" s="11" t="inlineStr">
        <is>
          <t>LDK</t>
        </is>
      </c>
      <c r="C34" s="11" t="inlineStr">
        <is>
          <t>施工</t>
        </is>
      </c>
      <c r="D34" s="11" t="inlineStr">
        <is>
          <t>巾木取替え</t>
        </is>
      </c>
      <c r="E34" s="3" t="n">
        <v>14.8</v>
      </c>
      <c r="F34" s="11" t="inlineStr">
        <is>
          <t>m</t>
        </is>
      </c>
      <c r="G34" s="3" t="n">
        <v>850</v>
      </c>
      <c r="H34" s="3" t="n"/>
      <c r="I34" s="3">
        <f>IF($A34="","",IF($S34&lt;&gt;"表示",0,IF($H34&gt;0,$H34,IFERROR($E34*$G34,0))))</f>
        <v/>
      </c>
      <c r="J34" s="3" t="n">
        <v>14.8</v>
      </c>
      <c r="K34" s="11" t="inlineStr">
        <is>
          <t>m</t>
        </is>
      </c>
      <c r="L34" s="3" t="n">
        <v>600</v>
      </c>
      <c r="M34" s="3" t="n"/>
      <c r="N34" s="3">
        <f>IF($A34="","",IF($S34&lt;&gt;"表示",0,IF($M34&gt;0,$M34,IFERROR($J34*$L34,0))))</f>
        <v/>
      </c>
      <c r="O34" s="3">
        <f>IF($A34="","",$I34-$N34)</f>
        <v/>
      </c>
      <c r="P34" s="17">
        <f>IF($A34="","",IFERROR($O34/$I34,0))</f>
        <v/>
      </c>
      <c r="Q34" s="11" t="n"/>
      <c r="R34" s="11" t="n"/>
      <c r="S34" s="11" t="inlineStr">
        <is>
          <t>表示</t>
        </is>
      </c>
      <c r="T34" s="11" t="n"/>
      <c r="U34" s="11" t="n"/>
      <c r="V34" s="11" t="n"/>
      <c r="W34" s="11" t="n"/>
      <c r="X34" s="11" t="n"/>
      <c r="Y34" s="11" t="n"/>
      <c r="Z34" s="11" t="n"/>
    </row>
    <row r="35" ht="26.75" customHeight="1">
      <c r="A35" s="11" t="n">
        <v>34</v>
      </c>
      <c r="B35" s="11" t="inlineStr">
        <is>
          <t>LDK</t>
        </is>
      </c>
      <c r="C35" s="11" t="inlineStr">
        <is>
          <t>施工</t>
        </is>
      </c>
      <c r="D35" s="11" t="inlineStr">
        <is>
          <t>片開き戸取替え　2ヶ所</t>
        </is>
      </c>
      <c r="E35" s="3" t="n">
        <v>1</v>
      </c>
      <c r="F35" s="11" t="inlineStr">
        <is>
          <t>式</t>
        </is>
      </c>
      <c r="G35" s="3" t="n"/>
      <c r="H35" s="3" t="n">
        <v>8400</v>
      </c>
      <c r="I35" s="3">
        <f>IF($A35="","",IF($S35&lt;&gt;"表示",0,IF($H35&gt;0,$H35,IFERROR($E35*$G35,0))))</f>
        <v/>
      </c>
      <c r="J35" s="3" t="n">
        <v>1</v>
      </c>
      <c r="K35" s="11" t="inlineStr">
        <is>
          <t>式</t>
        </is>
      </c>
      <c r="L35" s="3" t="n"/>
      <c r="M35" s="3" t="n">
        <v>6000</v>
      </c>
      <c r="N35" s="3">
        <f>IF($A35="","",IF($S35&lt;&gt;"表示",0,IF($M35&gt;0,$M35,IFERROR($J35*$L35,0))))</f>
        <v/>
      </c>
      <c r="O35" s="3">
        <f>IF($A35="","",$I35-$N35)</f>
        <v/>
      </c>
      <c r="P35" s="17">
        <f>IF($A35="","",IFERROR($O35/$I35,0))</f>
        <v/>
      </c>
      <c r="Q35" s="11" t="n"/>
      <c r="R35" s="11" t="inlineStr">
        <is>
          <t>建付調整</t>
        </is>
      </c>
      <c r="S35" s="11" t="inlineStr">
        <is>
          <t>表示</t>
        </is>
      </c>
      <c r="T35" s="11" t="n"/>
      <c r="U35" s="11" t="n"/>
      <c r="V35" s="11" t="n"/>
      <c r="W35" s="11" t="n"/>
      <c r="X35" s="11" t="n"/>
      <c r="Y35" s="11" t="n"/>
      <c r="Z35" s="11" t="n"/>
    </row>
    <row r="36" ht="26.75" customHeight="1">
      <c r="A36" s="11" t="n">
        <v>35</v>
      </c>
      <c r="B36" s="11" t="inlineStr">
        <is>
          <t>LDK</t>
        </is>
      </c>
      <c r="C36" s="11" t="inlineStr">
        <is>
          <t>施工</t>
        </is>
      </c>
      <c r="D36" s="11" t="inlineStr">
        <is>
          <t>解体工事（既存キッチン）</t>
        </is>
      </c>
      <c r="E36" s="3" t="n">
        <v>1</v>
      </c>
      <c r="F36" s="11" t="inlineStr">
        <is>
          <t>式</t>
        </is>
      </c>
      <c r="G36" s="3" t="n"/>
      <c r="H36" s="3" t="n">
        <v>28500</v>
      </c>
      <c r="I36" s="3">
        <f>IF($A36="","",IF($S36&lt;&gt;"表示",0,IF($H36&gt;0,$H36,IFERROR($E36*$G36,0))))</f>
        <v/>
      </c>
      <c r="J36" s="3" t="n">
        <v>1</v>
      </c>
      <c r="K36" s="11" t="inlineStr">
        <is>
          <t>式</t>
        </is>
      </c>
      <c r="L36" s="3" t="n"/>
      <c r="M36" s="3" t="n">
        <v>20000</v>
      </c>
      <c r="N36" s="3">
        <f>IF($A36="","",IF($S36&lt;&gt;"表示",0,IF($M36&gt;0,$M36,IFERROR($J36*$L36,0))))</f>
        <v/>
      </c>
      <c r="O36" s="3">
        <f>IF($A36="","",$I36-$N36)</f>
        <v/>
      </c>
      <c r="P36" s="17">
        <f>IF($A36="","",IFERROR($O36/$I36,0))</f>
        <v/>
      </c>
      <c r="Q36" s="11" t="inlineStr">
        <is>
          <t>1人役</t>
        </is>
      </c>
      <c r="R36" s="11" t="n"/>
      <c r="S36" s="11" t="inlineStr">
        <is>
          <t>表示</t>
        </is>
      </c>
      <c r="T36" s="11" t="n"/>
      <c r="U36" s="11" t="n"/>
      <c r="V36" s="11" t="n"/>
      <c r="W36" s="11" t="n"/>
      <c r="X36" s="11" t="n"/>
      <c r="Y36" s="11" t="n"/>
      <c r="Z36" s="11" t="n"/>
    </row>
    <row r="37" ht="26.75" customHeight="1">
      <c r="A37" s="11" t="n">
        <v>36</v>
      </c>
      <c r="B37" s="11" t="inlineStr">
        <is>
          <t>LDK</t>
        </is>
      </c>
      <c r="C37" s="11" t="inlineStr">
        <is>
          <t>経費</t>
        </is>
      </c>
      <c r="D37" s="11" t="inlineStr">
        <is>
          <t>〃 廃棄費</t>
        </is>
      </c>
      <c r="E37" s="3" t="n">
        <v>1</v>
      </c>
      <c r="F37" s="11" t="inlineStr">
        <is>
          <t>式</t>
        </is>
      </c>
      <c r="G37" s="3" t="n"/>
      <c r="H37" s="3" t="n">
        <v>21400</v>
      </c>
      <c r="I37" s="3">
        <f>IF($A37="","",IF($S37&lt;&gt;"表示",0,IF($H37&gt;0,$H37,IFERROR($E37*$G37,0))))</f>
        <v/>
      </c>
      <c r="J37" s="3" t="n">
        <v>1</v>
      </c>
      <c r="K37" s="11" t="inlineStr">
        <is>
          <t>式</t>
        </is>
      </c>
      <c r="L37" s="3" t="n"/>
      <c r="M37" s="3" t="n">
        <v>15000</v>
      </c>
      <c r="N37" s="3">
        <f>IF($A37="","",IF($S37&lt;&gt;"表示",0,IF($M37&gt;0,$M37,IFERROR($J37*$L37,0))))</f>
        <v/>
      </c>
      <c r="O37" s="3">
        <f>IF($A37="","",$I37-$N37)</f>
        <v/>
      </c>
      <c r="P37" s="17">
        <f>IF($A37="","",IFERROR($O37/$I37,0))</f>
        <v/>
      </c>
      <c r="Q37" s="11" t="n"/>
      <c r="R37" s="11" t="n"/>
      <c r="S37" s="11" t="inlineStr">
        <is>
          <t>表示</t>
        </is>
      </c>
      <c r="T37" s="11" t="n"/>
      <c r="U37" s="11" t="n"/>
      <c r="V37" s="11" t="n"/>
      <c r="W37" s="11" t="n"/>
      <c r="X37" s="11" t="n"/>
      <c r="Y37" s="11" t="n"/>
      <c r="Z37" s="11" t="n"/>
    </row>
    <row r="38" ht="26.75" customHeight="1">
      <c r="A38" s="11" t="n">
        <v>37</v>
      </c>
      <c r="B38" s="11" t="inlineStr">
        <is>
          <t>LDK</t>
        </is>
      </c>
      <c r="C38" s="11" t="inlineStr">
        <is>
          <t>施工</t>
        </is>
      </c>
      <c r="D38" s="11" t="inlineStr">
        <is>
          <t>システムキッチン取付</t>
        </is>
      </c>
      <c r="E38" s="3" t="n">
        <v>1</v>
      </c>
      <c r="F38" s="11" t="inlineStr">
        <is>
          <t>式</t>
        </is>
      </c>
      <c r="G38" s="3" t="n"/>
      <c r="H38" s="3" t="n">
        <v>57100</v>
      </c>
      <c r="I38" s="3">
        <f>IF($A38="","",IF($S38&lt;&gt;"表示",0,IF($H38&gt;0,$H38,IFERROR($E38*$G38,0))))</f>
        <v/>
      </c>
      <c r="J38" s="3" t="n">
        <v>1</v>
      </c>
      <c r="K38" s="11" t="inlineStr">
        <is>
          <t>式</t>
        </is>
      </c>
      <c r="L38" s="3" t="n"/>
      <c r="M38" s="3" t="n">
        <v>40000</v>
      </c>
      <c r="N38" s="3">
        <f>IF($A38="","",IF($S38&lt;&gt;"表示",0,IF($M38&gt;0,$M38,IFERROR($J38*$L38,0))))</f>
        <v/>
      </c>
      <c r="O38" s="3">
        <f>IF($A38="","",$I38-$N38)</f>
        <v/>
      </c>
      <c r="P38" s="17">
        <f>IF($A38="","",IFERROR($O38/$I38,0))</f>
        <v/>
      </c>
      <c r="Q38" s="11" t="inlineStr">
        <is>
          <t>1人役</t>
        </is>
      </c>
      <c r="R38" s="11" t="n"/>
      <c r="S38" s="11" t="inlineStr">
        <is>
          <t>表示</t>
        </is>
      </c>
      <c r="T38" s="11" t="n"/>
      <c r="U38" s="11" t="n"/>
      <c r="V38" s="11" t="n"/>
      <c r="W38" s="11" t="n"/>
      <c r="X38" s="11" t="n"/>
      <c r="Y38" s="11" t="n"/>
      <c r="Z38" s="11" t="n"/>
    </row>
    <row r="39" ht="26.75" customHeight="1">
      <c r="A39" s="11" t="n">
        <v>38</v>
      </c>
      <c r="B39" s="11" t="inlineStr">
        <is>
          <t>LDK</t>
        </is>
      </c>
      <c r="C39" s="11" t="inlineStr">
        <is>
          <t>施工</t>
        </is>
      </c>
      <c r="D39" s="11" t="inlineStr">
        <is>
          <t>キッチンパネル下地工事</t>
        </is>
      </c>
      <c r="E39" s="3" t="n">
        <v>1</v>
      </c>
      <c r="F39" s="11" t="inlineStr">
        <is>
          <t>式</t>
        </is>
      </c>
      <c r="G39" s="3" t="n"/>
      <c r="H39" s="3" t="n">
        <v>28500</v>
      </c>
      <c r="I39" s="3">
        <f>IF($A39="","",IF($S39&lt;&gt;"表示",0,IF($H39&gt;0,$H39,IFERROR($E39*$G39,0))))</f>
        <v/>
      </c>
      <c r="J39" s="3" t="n">
        <v>1</v>
      </c>
      <c r="K39" s="11" t="inlineStr">
        <is>
          <t>式</t>
        </is>
      </c>
      <c r="L39" s="3" t="n"/>
      <c r="M39" s="3" t="n">
        <v>20000</v>
      </c>
      <c r="N39" s="3">
        <f>IF($A39="","",IF($S39&lt;&gt;"表示",0,IF($M39&gt;0,$M39,IFERROR($J39*$L39,0))))</f>
        <v/>
      </c>
      <c r="O39" s="3">
        <f>IF($A39="","",$I39-$N39)</f>
        <v/>
      </c>
      <c r="P39" s="17">
        <f>IF($A39="","",IFERROR($O39/$I39,0))</f>
        <v/>
      </c>
      <c r="Q39" s="11" t="inlineStr">
        <is>
          <t>1/3人役</t>
        </is>
      </c>
      <c r="R39" s="11" t="n"/>
      <c r="S39" s="11" t="inlineStr">
        <is>
          <t>表示</t>
        </is>
      </c>
      <c r="T39" s="11" t="n"/>
      <c r="U39" s="11" t="n"/>
      <c r="V39" s="11" t="n"/>
      <c r="W39" s="11" t="n"/>
      <c r="X39" s="11" t="n"/>
      <c r="Y39" s="11" t="n"/>
      <c r="Z39" s="11" t="n"/>
    </row>
    <row r="40" ht="26.75" customHeight="1">
      <c r="A40" s="11" t="n">
        <v>39</v>
      </c>
      <c r="B40" s="11" t="inlineStr">
        <is>
          <t>LDK</t>
        </is>
      </c>
      <c r="C40" s="11" t="inlineStr">
        <is>
          <t>施工</t>
        </is>
      </c>
      <c r="D40" s="11" t="inlineStr">
        <is>
          <t>〃 取付</t>
        </is>
      </c>
      <c r="E40" s="3" t="n">
        <v>1</v>
      </c>
      <c r="F40" s="11" t="inlineStr">
        <is>
          <t>式</t>
        </is>
      </c>
      <c r="G40" s="3" t="n"/>
      <c r="H40" s="3" t="n">
        <v>28500</v>
      </c>
      <c r="I40" s="3">
        <f>IF($A40="","",IF($S40&lt;&gt;"表示",0,IF($H40&gt;0,$H40,IFERROR($E40*$G40,0))))</f>
        <v/>
      </c>
      <c r="J40" s="3" t="n">
        <v>1</v>
      </c>
      <c r="K40" s="11" t="inlineStr">
        <is>
          <t>式</t>
        </is>
      </c>
      <c r="L40" s="3" t="n"/>
      <c r="M40" s="3" t="n">
        <v>20000</v>
      </c>
      <c r="N40" s="3">
        <f>IF($A40="","",IF($S40&lt;&gt;"表示",0,IF($M40&gt;0,$M40,IFERROR($J40*$L40,0))))</f>
        <v/>
      </c>
      <c r="O40" s="3">
        <f>IF($A40="","",$I40-$N40)</f>
        <v/>
      </c>
      <c r="P40" s="17">
        <f>IF($A40="","",IFERROR($O40/$I40,0))</f>
        <v/>
      </c>
      <c r="Q40" s="11" t="n"/>
      <c r="R40" s="11" t="n"/>
      <c r="S40" s="11" t="inlineStr">
        <is>
          <t>表示</t>
        </is>
      </c>
      <c r="T40" s="11" t="n"/>
      <c r="U40" s="11" t="n"/>
      <c r="V40" s="11" t="n"/>
      <c r="W40" s="11" t="n"/>
      <c r="X40" s="11" t="n"/>
      <c r="Y40" s="11" t="n"/>
      <c r="Z40" s="11" t="n"/>
    </row>
    <row r="41" ht="26.75" customHeight="1">
      <c r="A41" s="11" t="n">
        <v>40</v>
      </c>
      <c r="B41" s="11" t="inlineStr">
        <is>
          <t>LDK</t>
        </is>
      </c>
      <c r="C41" s="11" t="inlineStr">
        <is>
          <t>施工</t>
        </is>
      </c>
      <c r="D41" s="11" t="inlineStr">
        <is>
          <t>給水給湯排水工事</t>
        </is>
      </c>
      <c r="E41" s="3" t="n">
        <v>1</v>
      </c>
      <c r="F41" s="11" t="inlineStr">
        <is>
          <t>式</t>
        </is>
      </c>
      <c r="G41" s="3" t="n"/>
      <c r="H41" s="3" t="n">
        <v>61400</v>
      </c>
      <c r="I41" s="3">
        <f>IF($A41="","",IF($S41&lt;&gt;"表示",0,IF($H41&gt;0,$H41,IFERROR($E41*$G41,0))))</f>
        <v/>
      </c>
      <c r="J41" s="3" t="n">
        <v>1</v>
      </c>
      <c r="K41" s="11" t="inlineStr">
        <is>
          <t>式</t>
        </is>
      </c>
      <c r="L41" s="3" t="n"/>
      <c r="M41" s="3" t="n">
        <v>43000</v>
      </c>
      <c r="N41" s="3">
        <f>IF($A41="","",IF($S41&lt;&gt;"表示",0,IF($M41&gt;0,$M41,IFERROR($J41*$L41,0))))</f>
        <v/>
      </c>
      <c r="O41" s="3">
        <f>IF($A41="","",$I41-$N41)</f>
        <v/>
      </c>
      <c r="P41" s="17">
        <f>IF($A41="","",IFERROR($O41/$I41,0))</f>
        <v/>
      </c>
      <c r="Q41" s="11" t="n"/>
      <c r="R41" s="11" t="inlineStr">
        <is>
          <t>副資材含む</t>
        </is>
      </c>
      <c r="S41" s="11" t="inlineStr">
        <is>
          <t>表示</t>
        </is>
      </c>
      <c r="T41" s="11" t="n"/>
      <c r="U41" s="11" t="n"/>
      <c r="V41" s="11" t="n"/>
      <c r="W41" s="11" t="n"/>
      <c r="X41" s="11" t="n"/>
      <c r="Y41" s="11" t="n"/>
      <c r="Z41" s="11" t="n"/>
    </row>
    <row r="42" ht="26.75" customHeight="1">
      <c r="A42" s="11" t="n">
        <v>41</v>
      </c>
      <c r="B42" s="11" t="inlineStr">
        <is>
          <t>LDK</t>
        </is>
      </c>
      <c r="C42" s="11" t="inlineStr">
        <is>
          <t>施工</t>
        </is>
      </c>
      <c r="D42" s="11" t="inlineStr">
        <is>
          <t>電気工事</t>
        </is>
      </c>
      <c r="E42" s="3" t="n">
        <v>1</v>
      </c>
      <c r="F42" s="11" t="inlineStr">
        <is>
          <t>式</t>
        </is>
      </c>
      <c r="G42" s="3" t="n"/>
      <c r="H42" s="3" t="n">
        <v>37100</v>
      </c>
      <c r="I42" s="3">
        <f>IF($A42="","",IF($S42&lt;&gt;"表示",0,IF($H42&gt;0,$H42,IFERROR($E42*$G42,0))))</f>
        <v/>
      </c>
      <c r="J42" s="3" t="n">
        <v>1</v>
      </c>
      <c r="K42" s="11" t="inlineStr">
        <is>
          <t>式</t>
        </is>
      </c>
      <c r="L42" s="3" t="n"/>
      <c r="M42" s="3" t="n">
        <v>26000</v>
      </c>
      <c r="N42" s="3">
        <f>IF($A42="","",IF($S42&lt;&gt;"表示",0,IF($M42&gt;0,$M42,IFERROR($J42*$L42,0))))</f>
        <v/>
      </c>
      <c r="O42" s="3">
        <f>IF($A42="","",$I42-$N42)</f>
        <v/>
      </c>
      <c r="P42" s="17">
        <f>IF($A42="","",IFERROR($O42/$I42,0))</f>
        <v/>
      </c>
      <c r="Q42" s="11" t="n"/>
      <c r="R42" s="11" t="inlineStr">
        <is>
          <t>〃</t>
        </is>
      </c>
      <c r="S42" s="11" t="inlineStr">
        <is>
          <t>表示</t>
        </is>
      </c>
      <c r="T42" s="11" t="n"/>
      <c r="U42" s="11" t="n"/>
      <c r="V42" s="11" t="n"/>
      <c r="W42" s="11" t="n"/>
      <c r="X42" s="11" t="n"/>
      <c r="Y42" s="11" t="n"/>
      <c r="Z42" s="11" t="n"/>
    </row>
    <row r="43" ht="26.75" customHeight="1">
      <c r="A43" s="11" t="n">
        <v>42</v>
      </c>
      <c r="B43" s="11" t="inlineStr">
        <is>
          <t>LDK</t>
        </is>
      </c>
      <c r="C43" s="11" t="inlineStr">
        <is>
          <t>施工</t>
        </is>
      </c>
      <c r="D43" s="11" t="inlineStr">
        <is>
          <t>換気工事</t>
        </is>
      </c>
      <c r="E43" s="3" t="n">
        <v>1</v>
      </c>
      <c r="F43" s="11" t="inlineStr">
        <is>
          <t>式</t>
        </is>
      </c>
      <c r="G43" s="3" t="n"/>
      <c r="H43" s="3" t="n">
        <v>21400</v>
      </c>
      <c r="I43" s="3">
        <f>IF($A43="","",IF($S43&lt;&gt;"表示",0,IF($H43&gt;0,$H43,IFERROR($E43*$G43,0))))</f>
        <v/>
      </c>
      <c r="J43" s="3" t="n">
        <v>1</v>
      </c>
      <c r="K43" s="11" t="inlineStr">
        <is>
          <t>式</t>
        </is>
      </c>
      <c r="L43" s="3" t="n"/>
      <c r="M43" s="3" t="n">
        <v>15000</v>
      </c>
      <c r="N43" s="3">
        <f>IF($A43="","",IF($S43&lt;&gt;"表示",0,IF($M43&gt;0,$M43,IFERROR($J43*$L43,0))))</f>
        <v/>
      </c>
      <c r="O43" s="3">
        <f>IF($A43="","",$I43-$N43)</f>
        <v/>
      </c>
      <c r="P43" s="17">
        <f>IF($A43="","",IFERROR($O43/$I43,0))</f>
        <v/>
      </c>
      <c r="Q43" s="11" t="n"/>
      <c r="R43" s="11" t="inlineStr">
        <is>
          <t>〃</t>
        </is>
      </c>
      <c r="S43" s="11" t="inlineStr">
        <is>
          <t>表示</t>
        </is>
      </c>
      <c r="T43" s="11" t="n"/>
      <c r="U43" s="11" t="n"/>
      <c r="V43" s="11" t="n"/>
      <c r="W43" s="11" t="n"/>
      <c r="X43" s="11" t="n"/>
      <c r="Y43" s="11" t="n"/>
      <c r="Z43" s="11" t="n"/>
    </row>
    <row r="44" ht="26.75" customHeight="1">
      <c r="A44" s="11" t="n">
        <v>43</v>
      </c>
      <c r="B44" s="11" t="inlineStr">
        <is>
          <t>LDK</t>
        </is>
      </c>
      <c r="C44" s="11" t="inlineStr">
        <is>
          <t>施工</t>
        </is>
      </c>
      <c r="D44" s="11" t="inlineStr">
        <is>
          <t>ガス工事</t>
        </is>
      </c>
      <c r="E44" s="3" t="n">
        <v>1</v>
      </c>
      <c r="F44" s="11" t="inlineStr">
        <is>
          <t>式</t>
        </is>
      </c>
      <c r="G44" s="3" t="n"/>
      <c r="H44" s="3" t="n">
        <v>22800</v>
      </c>
      <c r="I44" s="3">
        <f>IF($A44="","",IF($S44&lt;&gt;"表示",0,IF($H44&gt;0,$H44,IFERROR($E44*$G44,0))))</f>
        <v/>
      </c>
      <c r="J44" s="3" t="n">
        <v>1</v>
      </c>
      <c r="K44" s="11" t="inlineStr">
        <is>
          <t>式</t>
        </is>
      </c>
      <c r="L44" s="3" t="n"/>
      <c r="M44" s="3" t="n">
        <v>16000</v>
      </c>
      <c r="N44" s="3">
        <f>IF($A44="","",IF($S44&lt;&gt;"表示",0,IF($M44&gt;0,$M44,IFERROR($J44*$L44,0))))</f>
        <v/>
      </c>
      <c r="O44" s="3">
        <f>IF($A44="","",$I44-$N44)</f>
        <v/>
      </c>
      <c r="P44" s="17">
        <f>IF($A44="","",IFERROR($O44/$I44,0))</f>
        <v/>
      </c>
      <c r="Q44" s="11" t="n"/>
      <c r="R44" s="11" t="n"/>
      <c r="S44" s="11" t="inlineStr">
        <is>
          <t>表示</t>
        </is>
      </c>
      <c r="T44" s="11" t="n"/>
      <c r="U44" s="11" t="n"/>
      <c r="V44" s="11" t="n"/>
      <c r="W44" s="11" t="n"/>
      <c r="X44" s="11" t="n"/>
      <c r="Y44" s="11" t="n"/>
      <c r="Z44" s="11" t="n"/>
    </row>
    <row r="45" ht="26.75" customHeight="1">
      <c r="A45" s="11" t="n">
        <v>44</v>
      </c>
      <c r="B45" s="11" t="inlineStr">
        <is>
          <t>LDK</t>
        </is>
      </c>
      <c r="C45" s="11" t="inlineStr">
        <is>
          <t>施工</t>
        </is>
      </c>
      <c r="D45" s="11" t="inlineStr">
        <is>
          <t>天井　ビニールクロス貼替え</t>
        </is>
      </c>
      <c r="E45" s="3" t="n">
        <v>23.2</v>
      </c>
      <c r="F45" s="11" t="inlineStr">
        <is>
          <t>㎡</t>
        </is>
      </c>
      <c r="G45" s="3" t="n">
        <v>1140</v>
      </c>
      <c r="H45" s="3" t="n"/>
      <c r="I45" s="3">
        <f>IF($A45="","",IF($S45&lt;&gt;"表示",0,IF($H45&gt;0,$H45,IFERROR($E45*$G45,0))))</f>
        <v/>
      </c>
      <c r="J45" s="3" t="n">
        <v>23.2</v>
      </c>
      <c r="K45" s="11" t="inlineStr">
        <is>
          <t>㎡</t>
        </is>
      </c>
      <c r="L45" s="3" t="n">
        <v>650</v>
      </c>
      <c r="M45" s="3" t="n"/>
      <c r="N45" s="3">
        <f>IF($A45="","",IF($S45&lt;&gt;"表示",0,IF($M45&gt;0,$M45,IFERROR($J45*$L45,0))))</f>
        <v/>
      </c>
      <c r="O45" s="3">
        <f>IF($A45="","",$I45-$N45)</f>
        <v/>
      </c>
      <c r="P45" s="17">
        <f>IF($A45="","",IFERROR($O45/$I45,0))</f>
        <v/>
      </c>
      <c r="Q45" s="11" t="inlineStr">
        <is>
          <t>材工共</t>
        </is>
      </c>
      <c r="R45" s="11" t="inlineStr">
        <is>
          <t>量産品　SP</t>
        </is>
      </c>
      <c r="S45" s="11" t="inlineStr">
        <is>
          <t>表示</t>
        </is>
      </c>
      <c r="T45" s="11" t="n"/>
      <c r="U45" s="11" t="n"/>
      <c r="V45" s="11" t="n"/>
      <c r="W45" s="11" t="n"/>
      <c r="X45" s="11" t="n"/>
      <c r="Y45" s="11" t="n"/>
      <c r="Z45" s="11" t="n"/>
    </row>
    <row r="46" ht="26.75" customHeight="1">
      <c r="A46" s="11" t="n">
        <v>45</v>
      </c>
      <c r="B46" s="11" t="inlineStr">
        <is>
          <t>LDK</t>
        </is>
      </c>
      <c r="C46" s="11" t="inlineStr">
        <is>
          <t>施工</t>
        </is>
      </c>
      <c r="D46" s="11" t="inlineStr">
        <is>
          <t>壁 〃</t>
        </is>
      </c>
      <c r="E46" s="3" t="n">
        <v>36</v>
      </c>
      <c r="F46" s="11" t="inlineStr">
        <is>
          <t>㎡</t>
        </is>
      </c>
      <c r="G46" s="3" t="n">
        <v>1140</v>
      </c>
      <c r="H46" s="3" t="n"/>
      <c r="I46" s="3">
        <f>IF($A46="","",IF($S46&lt;&gt;"表示",0,IF($H46&gt;0,$H46,IFERROR($E46*$G46,0))))</f>
        <v/>
      </c>
      <c r="J46" s="3" t="n">
        <v>36</v>
      </c>
      <c r="K46" s="11" t="inlineStr">
        <is>
          <t>㎡</t>
        </is>
      </c>
      <c r="L46" s="3" t="n">
        <v>650</v>
      </c>
      <c r="M46" s="3" t="n"/>
      <c r="N46" s="3">
        <f>IF($A46="","",IF($S46&lt;&gt;"表示",0,IF($M46&gt;0,$M46,IFERROR($J46*$L46,0))))</f>
        <v/>
      </c>
      <c r="O46" s="3">
        <f>IF($A46="","",$I46-$N46)</f>
        <v/>
      </c>
      <c r="P46" s="17">
        <f>IF($A46="","",IFERROR($O46/$I46,0))</f>
        <v/>
      </c>
      <c r="Q46" s="11" t="inlineStr">
        <is>
          <t>材工共</t>
        </is>
      </c>
      <c r="R46" s="11" t="inlineStr">
        <is>
          <t>〃 SP</t>
        </is>
      </c>
      <c r="S46" s="11" t="inlineStr">
        <is>
          <t>表示</t>
        </is>
      </c>
      <c r="T46" s="11" t="n"/>
      <c r="U46" s="11" t="n"/>
      <c r="V46" s="11" t="n"/>
      <c r="W46" s="11" t="n"/>
      <c r="X46" s="11" t="n"/>
      <c r="Y46" s="11" t="n"/>
      <c r="Z46" s="11" t="n"/>
    </row>
    <row r="47" ht="26.75" customHeight="1">
      <c r="A47" s="11" t="n">
        <v>46</v>
      </c>
      <c r="B47" s="11" t="inlineStr">
        <is>
          <t>LDK</t>
        </is>
      </c>
      <c r="C47" s="11" t="inlineStr">
        <is>
          <t>施工</t>
        </is>
      </c>
      <c r="D47" s="11" t="inlineStr">
        <is>
          <t>木枠塗装</t>
        </is>
      </c>
      <c r="E47" s="3" t="n">
        <v>1</v>
      </c>
      <c r="F47" s="11" t="inlineStr">
        <is>
          <t>式</t>
        </is>
      </c>
      <c r="G47" s="3" t="n"/>
      <c r="H47" s="3" t="n">
        <v>11400</v>
      </c>
      <c r="I47" s="3">
        <f>IF($A47="","",IF($S47&lt;&gt;"表示",0,IF($H47&gt;0,$H47,IFERROR($E47*$G47,0))))</f>
        <v/>
      </c>
      <c r="J47" s="3" t="n">
        <v>1</v>
      </c>
      <c r="K47" s="11" t="inlineStr">
        <is>
          <t>式</t>
        </is>
      </c>
      <c r="L47" s="3" t="n"/>
      <c r="M47" s="3" t="n">
        <v>8000</v>
      </c>
      <c r="N47" s="3">
        <f>IF($A47="","",IF($S47&lt;&gt;"表示",0,IF($M47&gt;0,$M47,IFERROR($J47*$L47,0))))</f>
        <v/>
      </c>
      <c r="O47" s="3">
        <f>IF($A47="","",$I47-$N47)</f>
        <v/>
      </c>
      <c r="P47" s="17">
        <f>IF($A47="","",IFERROR($O47/$I47,0))</f>
        <v/>
      </c>
      <c r="Q47" s="11" t="inlineStr">
        <is>
          <t>1/3人役</t>
        </is>
      </c>
      <c r="R47" s="11" t="n"/>
      <c r="S47" s="11" t="inlineStr">
        <is>
          <t>表示</t>
        </is>
      </c>
      <c r="T47" s="11" t="n"/>
      <c r="U47" s="11" t="n"/>
      <c r="V47" s="11" t="n"/>
      <c r="W47" s="11" t="n"/>
      <c r="X47" s="11" t="n"/>
      <c r="Y47" s="11" t="n"/>
      <c r="Z47" s="11" t="n"/>
    </row>
    <row r="48" ht="26.75" customHeight="1">
      <c r="A48" s="11" t="n">
        <v>47</v>
      </c>
      <c r="B48" s="11" t="inlineStr">
        <is>
          <t>LDK</t>
        </is>
      </c>
      <c r="C48" s="11" t="inlineStr">
        <is>
          <t>施工</t>
        </is>
      </c>
      <c r="D48" s="11" t="inlineStr">
        <is>
          <t>プレート取替え</t>
        </is>
      </c>
      <c r="E48" s="3" t="n">
        <v>3</v>
      </c>
      <c r="F48" s="11" t="inlineStr">
        <is>
          <t>セット</t>
        </is>
      </c>
      <c r="G48" s="3" t="n">
        <v>850</v>
      </c>
      <c r="H48" s="3" t="n"/>
      <c r="I48" s="3">
        <f>IF($A48="","",IF($S48&lt;&gt;"表示",0,IF($H48&gt;0,$H48,IFERROR($E48*$G48,0))))</f>
        <v/>
      </c>
      <c r="J48" s="3" t="n">
        <v>3</v>
      </c>
      <c r="K48" s="11" t="inlineStr">
        <is>
          <t>セット</t>
        </is>
      </c>
      <c r="L48" s="3" t="n">
        <v>600</v>
      </c>
      <c r="M48" s="3" t="n"/>
      <c r="N48" s="3">
        <f>IF($A48="","",IF($S48&lt;&gt;"表示",0,IF($M48&gt;0,$M48,IFERROR($J48*$L48,0))))</f>
        <v/>
      </c>
      <c r="O48" s="3">
        <f>IF($A48="","",$I48-$N48)</f>
        <v/>
      </c>
      <c r="P48" s="17">
        <f>IF($A48="","",IFERROR($O48/$I48,0))</f>
        <v/>
      </c>
      <c r="Q48" s="11" t="inlineStr">
        <is>
          <t>材工共</t>
        </is>
      </c>
      <c r="R48" s="11" t="n"/>
      <c r="S48" s="11" t="inlineStr">
        <is>
          <t>表示</t>
        </is>
      </c>
      <c r="T48" s="11" t="n"/>
      <c r="U48" s="11" t="n"/>
      <c r="V48" s="11" t="n"/>
      <c r="W48" s="11" t="n"/>
      <c r="X48" s="11" t="n"/>
      <c r="Y48" s="11" t="n"/>
      <c r="Z48" s="11" t="n"/>
    </row>
    <row r="49" ht="26.75" customHeight="1">
      <c r="A49" s="11" t="n">
        <v>48</v>
      </c>
      <c r="B49" s="11" t="inlineStr">
        <is>
          <t>浴室</t>
        </is>
      </c>
      <c r="C49" s="11" t="inlineStr">
        <is>
          <t>材料</t>
        </is>
      </c>
      <c r="D49" s="11" t="inlineStr">
        <is>
          <t>洗面間仕切り補修材及びサッシ廻り補修材</t>
        </is>
      </c>
      <c r="E49" s="3" t="n">
        <v>1</v>
      </c>
      <c r="F49" s="11" t="inlineStr">
        <is>
          <t>式</t>
        </is>
      </c>
      <c r="G49" s="3" t="n"/>
      <c r="H49" s="3" t="n">
        <v>6600</v>
      </c>
      <c r="I49" s="3">
        <f>IF($A49="","",IF($S49&lt;&gt;"表示",0,IF($H49&gt;0,$H49,IFERROR($E49*$G49,0))))</f>
        <v/>
      </c>
      <c r="J49" s="3" t="n">
        <v>1</v>
      </c>
      <c r="K49" s="11" t="inlineStr">
        <is>
          <t>式</t>
        </is>
      </c>
      <c r="L49" s="3" t="n"/>
      <c r="M49" s="3" t="n">
        <v>5000</v>
      </c>
      <c r="N49" s="3">
        <f>IF($A49="","",IF($S49&lt;&gt;"表示",0,IF($M49&gt;0,$M49,IFERROR($J49*$L49,0))))</f>
        <v/>
      </c>
      <c r="O49" s="3">
        <f>IF($A49="","",$I49-$N49)</f>
        <v/>
      </c>
      <c r="P49" s="17">
        <f>IF($A49="","",IFERROR($O49/$I49,0))</f>
        <v/>
      </c>
      <c r="Q49" s="11" t="n"/>
      <c r="R49" s="11" t="inlineStr">
        <is>
          <t>PB及び銅縁材他</t>
        </is>
      </c>
      <c r="S49" s="11" t="inlineStr">
        <is>
          <t>表示</t>
        </is>
      </c>
      <c r="T49" s="11" t="n"/>
      <c r="U49" s="11" t="n"/>
      <c r="V49" s="11" t="n"/>
      <c r="W49" s="11" t="n"/>
      <c r="X49" s="11" t="n"/>
      <c r="Y49" s="11" t="n"/>
      <c r="Z49" s="11" t="n"/>
    </row>
    <row r="50" ht="26.75" customHeight="1">
      <c r="A50" s="11" t="n">
        <v>49</v>
      </c>
      <c r="B50" s="11" t="inlineStr">
        <is>
          <t>浴室</t>
        </is>
      </c>
      <c r="C50" s="11" t="inlineStr">
        <is>
          <t>材料</t>
        </is>
      </c>
      <c r="D50" s="11" t="inlineStr">
        <is>
          <t>浴室入口化粧4方枠材</t>
        </is>
      </c>
      <c r="E50" s="3" t="n">
        <v>1</v>
      </c>
      <c r="F50" s="11" t="inlineStr">
        <is>
          <t>梱</t>
        </is>
      </c>
      <c r="G50" s="3" t="n">
        <v>5700</v>
      </c>
      <c r="H50" s="3" t="n"/>
      <c r="I50" s="3">
        <f>IF($A50="","",IF($S50&lt;&gt;"表示",0,IF($H50&gt;0,$H50,IFERROR($E50*$G50,0))))</f>
        <v/>
      </c>
      <c r="J50" s="3" t="n">
        <v>1</v>
      </c>
      <c r="K50" s="11" t="inlineStr">
        <is>
          <t>梱</t>
        </is>
      </c>
      <c r="L50" s="3" t="n">
        <v>4305</v>
      </c>
      <c r="M50" s="3" t="n"/>
      <c r="N50" s="3">
        <f>IF($A50="","",IF($S50&lt;&gt;"表示",0,IF($M50&gt;0,$M50,IFERROR($J50*$L50,0))))</f>
        <v/>
      </c>
      <c r="O50" s="3">
        <f>IF($A50="","",$I50-$N50)</f>
        <v/>
      </c>
      <c r="P50" s="17">
        <f>IF($A50="","",IFERROR($O50/$I50,0))</f>
        <v/>
      </c>
      <c r="Q50" s="11" t="inlineStr">
        <is>
          <t>定価12,300円/本×35％</t>
        </is>
      </c>
      <c r="R50" s="11" t="inlineStr">
        <is>
          <t>パル　固定枠　20×95㎜（2本入） ☆</t>
        </is>
      </c>
      <c r="S50" s="11" t="inlineStr">
        <is>
          <t>表示</t>
        </is>
      </c>
      <c r="T50" s="11" t="n"/>
      <c r="U50" s="11" t="n"/>
      <c r="V50" s="11" t="n"/>
      <c r="W50" s="11" t="n"/>
      <c r="X50" s="11" t="n"/>
      <c r="Y50" s="11" t="n"/>
      <c r="Z50" s="11" t="n"/>
    </row>
    <row r="51" ht="26.75" customHeight="1">
      <c r="A51" s="11" t="n">
        <v>50</v>
      </c>
      <c r="B51" s="11" t="inlineStr">
        <is>
          <t>浴室</t>
        </is>
      </c>
      <c r="C51" s="11" t="inlineStr">
        <is>
          <t>材料</t>
        </is>
      </c>
      <c r="D51" s="11" t="inlineStr">
        <is>
          <t>システムバス　1616（1坪）サイズ</t>
        </is>
      </c>
      <c r="E51" s="3" t="n">
        <v>1</v>
      </c>
      <c r="F51" s="11" t="inlineStr">
        <is>
          <t>セット</t>
        </is>
      </c>
      <c r="G51" s="3" t="n">
        <v>352900</v>
      </c>
      <c r="H51" s="3" t="n"/>
      <c r="I51" s="3">
        <f>IF($A51="","",IF($S51&lt;&gt;"表示",0,IF($H51&gt;0,$H51,IFERROR($E51*$G51,0))))</f>
        <v/>
      </c>
      <c r="J51" s="3" t="n">
        <v>1</v>
      </c>
      <c r="K51" s="11" t="inlineStr">
        <is>
          <t>セット</t>
        </is>
      </c>
      <c r="L51" s="3" t="n">
        <v>264693</v>
      </c>
      <c r="M51" s="3" t="n"/>
      <c r="N51" s="3">
        <f>IF($A51="","",IF($S51&lt;&gt;"表示",0,IF($M51&gt;0,$M51,IFERROR($J51*$L51,0))))</f>
        <v/>
      </c>
      <c r="O51" s="3">
        <f>IF($A51="","",$I51-$N51)</f>
        <v/>
      </c>
      <c r="P51" s="17">
        <f>IF($A51="","",IFERROR($O51/$I51,0))</f>
        <v/>
      </c>
      <c r="Q51" s="11" t="inlineStr">
        <is>
          <t>定価802,100円/本×33％</t>
        </is>
      </c>
      <c r="R51" s="11" t="inlineStr">
        <is>
          <t>TOTO　サザナ　HDシリーズ　Sタイプ ☆</t>
        </is>
      </c>
      <c r="S51" s="11" t="inlineStr">
        <is>
          <t>表示</t>
        </is>
      </c>
      <c r="T51" s="11" t="n"/>
      <c r="U51" s="11" t="n"/>
      <c r="V51" s="11" t="n"/>
      <c r="W51" s="11" t="n"/>
      <c r="X51" s="11" t="n"/>
      <c r="Y51" s="11" t="n"/>
      <c r="Z51" s="11" t="n"/>
    </row>
    <row r="52" ht="26.75" customHeight="1">
      <c r="A52" s="11" t="n">
        <v>51</v>
      </c>
      <c r="B52" s="11" t="inlineStr">
        <is>
          <t>浴室</t>
        </is>
      </c>
      <c r="C52" s="11" t="inlineStr">
        <is>
          <t>材料</t>
        </is>
      </c>
      <c r="D52" s="11" t="inlineStr">
        <is>
          <t>〃 窓枠　D200</t>
        </is>
      </c>
      <c r="E52" s="3" t="n">
        <v>1</v>
      </c>
      <c r="F52" s="11" t="inlineStr">
        <is>
          <t>セット</t>
        </is>
      </c>
      <c r="G52" s="3" t="n">
        <v>10700</v>
      </c>
      <c r="H52" s="3" t="n"/>
      <c r="I52" s="3">
        <f>IF($A52="","",IF($S52&lt;&gt;"表示",0,IF($H52&gt;0,$H52,IFERROR($E52*$G52,0))))</f>
        <v/>
      </c>
      <c r="J52" s="3" t="n">
        <v>1</v>
      </c>
      <c r="K52" s="11" t="inlineStr">
        <is>
          <t>セット</t>
        </is>
      </c>
      <c r="L52" s="3" t="n">
        <v>8085</v>
      </c>
      <c r="M52" s="3" t="n"/>
      <c r="N52" s="3">
        <f>IF($A52="","",IF($S52&lt;&gt;"表示",0,IF($M52&gt;0,$M52,IFERROR($J52*$L52,0))))</f>
        <v/>
      </c>
      <c r="O52" s="3">
        <f>IF($A52="","",$I52-$N52)</f>
        <v/>
      </c>
      <c r="P52" s="17">
        <f>IF($A52="","",IFERROR($O52/$I52,0))</f>
        <v/>
      </c>
      <c r="Q52" s="11" t="inlineStr">
        <is>
          <t>定価24,500円/本×33％</t>
        </is>
      </c>
      <c r="R52" s="11" t="inlineStr">
        <is>
          <t>〃 〃 フリーサイズ窓枠 ☆</t>
        </is>
      </c>
      <c r="S52" s="11" t="inlineStr">
        <is>
          <t>表示</t>
        </is>
      </c>
      <c r="T52" s="11" t="n"/>
      <c r="U52" s="11" t="n"/>
      <c r="V52" s="11" t="n"/>
      <c r="W52" s="11" t="n"/>
      <c r="X52" s="11" t="n"/>
      <c r="Y52" s="11" t="n"/>
      <c r="Z52" s="11" t="n"/>
    </row>
    <row r="53" ht="26.75" customHeight="1">
      <c r="A53" s="11" t="n">
        <v>52</v>
      </c>
      <c r="B53" s="11" t="inlineStr">
        <is>
          <t>浴室</t>
        </is>
      </c>
      <c r="C53" s="11" t="inlineStr">
        <is>
          <t>材料</t>
        </is>
      </c>
      <c r="D53" s="11" t="inlineStr">
        <is>
          <t>土間下地材</t>
        </is>
      </c>
      <c r="E53" s="3" t="n">
        <v>1</v>
      </c>
      <c r="F53" s="11" t="inlineStr">
        <is>
          <t>式</t>
        </is>
      </c>
      <c r="G53" s="3" t="n"/>
      <c r="H53" s="3" t="n">
        <v>12000</v>
      </c>
      <c r="I53" s="3">
        <f>IF($A53="","",IF($S53&lt;&gt;"表示",0,IF($H53&gt;0,$H53,IFERROR($E53*$G53,0))))</f>
        <v/>
      </c>
      <c r="J53" s="3" t="n">
        <v>1</v>
      </c>
      <c r="K53" s="11" t="inlineStr">
        <is>
          <t>式</t>
        </is>
      </c>
      <c r="L53" s="3" t="n"/>
      <c r="M53" s="3" t="n">
        <v>9000</v>
      </c>
      <c r="N53" s="3">
        <f>IF($A53="","",IF($S53&lt;&gt;"表示",0,IF($M53&gt;0,$M53,IFERROR($J53*$L53,0))))</f>
        <v/>
      </c>
      <c r="O53" s="3">
        <f>IF($A53="","",$I53-$N53)</f>
        <v/>
      </c>
      <c r="P53" s="17">
        <f>IF($A53="","",IFERROR($O53/$I53,0))</f>
        <v/>
      </c>
      <c r="Q53" s="11" t="n"/>
      <c r="R53" s="11" t="inlineStr">
        <is>
          <t>モルタル等</t>
        </is>
      </c>
      <c r="S53" s="11" t="inlineStr">
        <is>
          <t>表示</t>
        </is>
      </c>
      <c r="T53" s="11" t="n"/>
      <c r="U53" s="11" t="n"/>
      <c r="V53" s="11" t="n"/>
      <c r="W53" s="11" t="n"/>
      <c r="X53" s="11" t="n"/>
      <c r="Y53" s="11" t="n"/>
      <c r="Z53" s="11" t="n"/>
    </row>
    <row r="54" ht="26.75" customHeight="1">
      <c r="A54" s="11" t="n">
        <v>53</v>
      </c>
      <c r="B54" s="11" t="inlineStr">
        <is>
          <t>浴室</t>
        </is>
      </c>
      <c r="C54" s="11" t="inlineStr">
        <is>
          <t>材料</t>
        </is>
      </c>
      <c r="D54" s="11" t="inlineStr">
        <is>
          <t>ガス給湯器　オートタイプ　24号</t>
        </is>
      </c>
      <c r="E54" s="3" t="n">
        <v>1</v>
      </c>
      <c r="F54" s="11" t="inlineStr">
        <is>
          <t>セット</t>
        </is>
      </c>
      <c r="G54" s="3" t="n">
        <v>94600</v>
      </c>
      <c r="H54" s="3" t="n"/>
      <c r="I54" s="3">
        <f>IF($A54="","",IF($S54&lt;&gt;"表示",0,IF($H54&gt;0,$H54,IFERROR($E54*$G54,0))))</f>
        <v/>
      </c>
      <c r="J54" s="3" t="n">
        <v>1</v>
      </c>
      <c r="K54" s="11" t="inlineStr">
        <is>
          <t>セット</t>
        </is>
      </c>
      <c r="L54" s="3" t="n">
        <v>71000</v>
      </c>
      <c r="M54" s="3" t="n"/>
      <c r="N54" s="3">
        <f>IF($A54="","",IF($S54&lt;&gt;"表示",0,IF($M54&gt;0,$M54,IFERROR($J54*$L54,0))))</f>
        <v/>
      </c>
      <c r="O54" s="3">
        <f>IF($A54="","",$I54-$N54)</f>
        <v/>
      </c>
      <c r="P54" s="17">
        <f>IF($A54="","",IFERROR($O54/$I54,0))</f>
        <v/>
      </c>
      <c r="Q54" s="11" t="inlineStr">
        <is>
          <t>定価オープン価格</t>
        </is>
      </c>
      <c r="R54" s="11" t="inlineStr">
        <is>
          <t>リンナイ　ユッコUF　設置フリー形　シンプルリモコンセット ☆</t>
        </is>
      </c>
      <c r="S54" s="11" t="inlineStr">
        <is>
          <t>表示</t>
        </is>
      </c>
      <c r="T54" s="11" t="n"/>
      <c r="U54" s="11" t="n"/>
      <c r="V54" s="11" t="n"/>
      <c r="W54" s="11" t="n"/>
      <c r="X54" s="11" t="n"/>
      <c r="Y54" s="11" t="n"/>
      <c r="Z54" s="11" t="n"/>
    </row>
    <row r="55" ht="26.75" customHeight="1">
      <c r="A55" s="11" t="n">
        <v>54</v>
      </c>
      <c r="B55" s="11" t="inlineStr">
        <is>
          <t>浴室</t>
        </is>
      </c>
      <c r="C55" s="11" t="inlineStr">
        <is>
          <t>施工</t>
        </is>
      </c>
      <c r="D55" s="11" t="inlineStr">
        <is>
          <t>解体工事　木工解体</t>
        </is>
      </c>
      <c r="E55" s="3" t="n">
        <v>1</v>
      </c>
      <c r="F55" s="11" t="inlineStr">
        <is>
          <t>式</t>
        </is>
      </c>
      <c r="G55" s="3" t="n"/>
      <c r="H55" s="3" t="n">
        <v>28500</v>
      </c>
      <c r="I55" s="3">
        <f>IF($A55="","",IF($S55&lt;&gt;"表示",0,IF($H55&gt;0,$H55,IFERROR($E55*$G55,0))))</f>
        <v/>
      </c>
      <c r="J55" s="3" t="n">
        <v>1</v>
      </c>
      <c r="K55" s="11" t="inlineStr">
        <is>
          <t>式</t>
        </is>
      </c>
      <c r="L55" s="3" t="n"/>
      <c r="M55" s="3" t="n">
        <v>20000</v>
      </c>
      <c r="N55" s="3">
        <f>IF($A55="","",IF($S55&lt;&gt;"表示",0,IF($M55&gt;0,$M55,IFERROR($J55*$L55,0))))</f>
        <v/>
      </c>
      <c r="O55" s="3">
        <f>IF($A55="","",$I55-$N55)</f>
        <v/>
      </c>
      <c r="P55" s="17">
        <f>IF($A55="","",IFERROR($O55/$I55,0))</f>
        <v/>
      </c>
      <c r="Q55" s="11" t="inlineStr">
        <is>
          <t>1人役</t>
        </is>
      </c>
      <c r="R55" s="11" t="n"/>
      <c r="S55" s="11" t="inlineStr">
        <is>
          <t>表示</t>
        </is>
      </c>
      <c r="T55" s="11" t="n"/>
      <c r="U55" s="11" t="n"/>
      <c r="V55" s="11" t="n"/>
      <c r="W55" s="11" t="n"/>
      <c r="X55" s="11" t="n"/>
      <c r="Y55" s="11" t="n"/>
      <c r="Z55" s="11" t="n"/>
    </row>
    <row r="56" ht="26.75" customHeight="1">
      <c r="A56" s="11" t="n">
        <v>55</v>
      </c>
      <c r="B56" s="11" t="inlineStr">
        <is>
          <t>浴室</t>
        </is>
      </c>
      <c r="C56" s="11" t="inlineStr">
        <is>
          <t>施工</t>
        </is>
      </c>
      <c r="D56" s="11" t="inlineStr">
        <is>
          <t>〃 土間</t>
        </is>
      </c>
      <c r="E56" s="3" t="n">
        <v>1</v>
      </c>
      <c r="F56" s="11" t="inlineStr">
        <is>
          <t>式</t>
        </is>
      </c>
      <c r="G56" s="3" t="n"/>
      <c r="H56" s="3" t="n">
        <v>57100</v>
      </c>
      <c r="I56" s="3">
        <f>IF($A56="","",IF($S56&lt;&gt;"表示",0,IF($H56&gt;0,$H56,IFERROR($E56*$G56,0))))</f>
        <v/>
      </c>
      <c r="J56" s="3" t="n">
        <v>1</v>
      </c>
      <c r="K56" s="11" t="inlineStr">
        <is>
          <t>式</t>
        </is>
      </c>
      <c r="L56" s="3" t="n"/>
      <c r="M56" s="3" t="n">
        <v>40000</v>
      </c>
      <c r="N56" s="3">
        <f>IF($A56="","",IF($S56&lt;&gt;"表示",0,IF($M56&gt;0,$M56,IFERROR($J56*$L56,0))))</f>
        <v/>
      </c>
      <c r="O56" s="3">
        <f>IF($A56="","",$I56-$N56)</f>
        <v/>
      </c>
      <c r="P56" s="17">
        <f>IF($A56="","",IFERROR($O56/$I56,0))</f>
        <v/>
      </c>
      <c r="Q56" s="11" t="inlineStr">
        <is>
          <t>2人役</t>
        </is>
      </c>
      <c r="R56" s="11" t="n"/>
      <c r="S56" s="11" t="inlineStr">
        <is>
          <t>表示</t>
        </is>
      </c>
      <c r="T56" s="11" t="n"/>
      <c r="U56" s="11" t="n"/>
      <c r="V56" s="11" t="n"/>
      <c r="W56" s="11" t="n"/>
      <c r="X56" s="11" t="n"/>
      <c r="Y56" s="11" t="n"/>
      <c r="Z56" s="11" t="n"/>
    </row>
    <row r="57" ht="26.75" customHeight="1">
      <c r="A57" s="11" t="n">
        <v>56</v>
      </c>
      <c r="B57" s="11" t="inlineStr">
        <is>
          <t>浴室</t>
        </is>
      </c>
      <c r="C57" s="11" t="inlineStr">
        <is>
          <t>経費</t>
        </is>
      </c>
      <c r="D57" s="11" t="inlineStr">
        <is>
          <t>解体材廃棄費</t>
        </is>
      </c>
      <c r="E57" s="3" t="n">
        <v>1</v>
      </c>
      <c r="F57" s="11" t="inlineStr">
        <is>
          <t>式</t>
        </is>
      </c>
      <c r="G57" s="3" t="n"/>
      <c r="H57" s="3" t="n">
        <v>40000</v>
      </c>
      <c r="I57" s="3">
        <f>IF($A57="","",IF($S57&lt;&gt;"表示",0,IF($H57&gt;0,$H57,IFERROR($E57*$G57,0))))</f>
        <v/>
      </c>
      <c r="J57" s="3" t="n">
        <v>1</v>
      </c>
      <c r="K57" s="11" t="inlineStr">
        <is>
          <t>式</t>
        </is>
      </c>
      <c r="L57" s="3" t="n"/>
      <c r="M57" s="3" t="n">
        <v>28000</v>
      </c>
      <c r="N57" s="3">
        <f>IF($A57="","",IF($S57&lt;&gt;"表示",0,IF($M57&gt;0,$M57,IFERROR($J57*$L57,0))))</f>
        <v/>
      </c>
      <c r="O57" s="3">
        <f>IF($A57="","",$I57-$N57)</f>
        <v/>
      </c>
      <c r="P57" s="17">
        <f>IF($A57="","",IFERROR($O57/$I57,0))</f>
        <v/>
      </c>
      <c r="Q57" s="11" t="n"/>
      <c r="R57" s="11" t="inlineStr">
        <is>
          <t>1〜2t程度</t>
        </is>
      </c>
      <c r="S57" s="11" t="inlineStr">
        <is>
          <t>表示</t>
        </is>
      </c>
      <c r="T57" s="11" t="n"/>
      <c r="U57" s="11" t="n"/>
      <c r="V57" s="11" t="n"/>
      <c r="W57" s="11" t="n"/>
      <c r="X57" s="11" t="n"/>
      <c r="Y57" s="11" t="n"/>
      <c r="Z57" s="11" t="n"/>
    </row>
    <row r="58" ht="26.75" customHeight="1">
      <c r="A58" s="11" t="n">
        <v>57</v>
      </c>
      <c r="B58" s="11" t="inlineStr">
        <is>
          <t>浴室</t>
        </is>
      </c>
      <c r="C58" s="11" t="inlineStr">
        <is>
          <t>施工</t>
        </is>
      </c>
      <c r="D58" s="11" t="inlineStr">
        <is>
          <t>木工事　間仕切補修</t>
        </is>
      </c>
      <c r="E58" s="3" t="n">
        <v>1</v>
      </c>
      <c r="F58" s="11" t="inlineStr">
        <is>
          <t>式</t>
        </is>
      </c>
      <c r="G58" s="3" t="n"/>
      <c r="H58" s="3" t="n">
        <v>14200</v>
      </c>
      <c r="I58" s="3">
        <f>IF($A58="","",IF($S58&lt;&gt;"表示",0,IF($H58&gt;0,$H58,IFERROR($E58*$G58,0))))</f>
        <v/>
      </c>
      <c r="J58" s="3" t="n">
        <v>1</v>
      </c>
      <c r="K58" s="11" t="inlineStr">
        <is>
          <t>式</t>
        </is>
      </c>
      <c r="L58" s="3" t="n"/>
      <c r="M58" s="3" t="n">
        <v>10000</v>
      </c>
      <c r="N58" s="3">
        <f>IF($A58="","",IF($S58&lt;&gt;"表示",0,IF($M58&gt;0,$M58,IFERROR($J58*$L58,0))))</f>
        <v/>
      </c>
      <c r="O58" s="3">
        <f>IF($A58="","",$I58-$N58)</f>
        <v/>
      </c>
      <c r="P58" s="17">
        <f>IF($A58="","",IFERROR($O58/$I58,0))</f>
        <v/>
      </c>
      <c r="Q58" s="11" t="inlineStr">
        <is>
          <t>半人役ハン</t>
        </is>
      </c>
      <c r="R58" s="11" t="n"/>
      <c r="S58" s="11" t="inlineStr">
        <is>
          <t>表示</t>
        </is>
      </c>
      <c r="T58" s="11" t="n"/>
      <c r="U58" s="11" t="n"/>
      <c r="V58" s="11" t="n"/>
      <c r="W58" s="11" t="n"/>
      <c r="X58" s="11" t="n"/>
      <c r="Y58" s="11" t="n"/>
      <c r="Z58" s="11" t="n"/>
    </row>
    <row r="59" ht="26.75" customHeight="1">
      <c r="A59" s="11" t="n">
        <v>58</v>
      </c>
      <c r="B59" s="11" t="inlineStr">
        <is>
          <t>浴室</t>
        </is>
      </c>
      <c r="C59" s="11" t="inlineStr">
        <is>
          <t>施工</t>
        </is>
      </c>
      <c r="D59" s="11" t="inlineStr">
        <is>
          <t>〃 入口四方化粧枠取付</t>
        </is>
      </c>
      <c r="E59" s="3" t="n">
        <v>1</v>
      </c>
      <c r="F59" s="11" t="inlineStr">
        <is>
          <t>式</t>
        </is>
      </c>
      <c r="G59" s="3" t="n"/>
      <c r="H59" s="3" t="n">
        <v>14200</v>
      </c>
      <c r="I59" s="3">
        <f>IF($A59="","",IF($S59&lt;&gt;"表示",0,IF($H59&gt;0,$H59,IFERROR($E59*$G59,0))))</f>
        <v/>
      </c>
      <c r="J59" s="3" t="n">
        <v>1</v>
      </c>
      <c r="K59" s="11" t="inlineStr">
        <is>
          <t>式</t>
        </is>
      </c>
      <c r="L59" s="3" t="n"/>
      <c r="M59" s="3" t="n">
        <v>10000</v>
      </c>
      <c r="N59" s="3">
        <f>IF($A59="","",IF($S59&lt;&gt;"表示",0,IF($M59&gt;0,$M59,IFERROR($J59*$L59,0))))</f>
        <v/>
      </c>
      <c r="O59" s="3">
        <f>IF($A59="","",$I59-$N59)</f>
        <v/>
      </c>
      <c r="P59" s="17">
        <f>IF($A59="","",IFERROR($O59/$I59,0))</f>
        <v/>
      </c>
      <c r="Q59" s="11" t="inlineStr">
        <is>
          <t>半人役</t>
        </is>
      </c>
      <c r="R59" s="11" t="n"/>
      <c r="S59" s="11" t="inlineStr">
        <is>
          <t>表示</t>
        </is>
      </c>
      <c r="T59" s="11" t="n"/>
      <c r="U59" s="11" t="n"/>
      <c r="V59" s="11" t="n"/>
      <c r="W59" s="11" t="n"/>
      <c r="X59" s="11" t="n"/>
      <c r="Y59" s="11" t="n"/>
      <c r="Z59" s="11" t="n"/>
    </row>
    <row r="60" ht="26.75" customHeight="1">
      <c r="A60" s="11" t="n">
        <v>59</v>
      </c>
      <c r="B60" s="11" t="inlineStr">
        <is>
          <t>浴室</t>
        </is>
      </c>
      <c r="C60" s="11" t="inlineStr">
        <is>
          <t>施工</t>
        </is>
      </c>
      <c r="D60" s="11" t="inlineStr">
        <is>
          <t>〃 外壁サッシ廻り補修</t>
        </is>
      </c>
      <c r="E60" s="3" t="n">
        <v>1</v>
      </c>
      <c r="F60" s="11" t="inlineStr">
        <is>
          <t>式</t>
        </is>
      </c>
      <c r="G60" s="3" t="n"/>
      <c r="H60" s="3" t="n">
        <v>28500</v>
      </c>
      <c r="I60" s="3">
        <f>IF($A60="","",IF($S60&lt;&gt;"表示",0,IF($H60&gt;0,$H60,IFERROR($E60*$G60,0))))</f>
        <v/>
      </c>
      <c r="J60" s="3" t="n">
        <v>1</v>
      </c>
      <c r="K60" s="11" t="inlineStr">
        <is>
          <t>式</t>
        </is>
      </c>
      <c r="L60" s="3" t="n"/>
      <c r="M60" s="3" t="n">
        <v>20000</v>
      </c>
      <c r="N60" s="3">
        <f>IF($A60="","",IF($S60&lt;&gt;"表示",0,IF($M60&gt;0,$M60,IFERROR($J60*$L60,0))))</f>
        <v/>
      </c>
      <c r="O60" s="3">
        <f>IF($A60="","",$I60-$N60)</f>
        <v/>
      </c>
      <c r="P60" s="17">
        <f>IF($A60="","",IFERROR($O60/$I60,0))</f>
        <v/>
      </c>
      <c r="Q60" s="11" t="inlineStr">
        <is>
          <t>1人役</t>
        </is>
      </c>
      <c r="R60" s="11" t="n"/>
      <c r="S60" s="11" t="inlineStr">
        <is>
          <t>表示</t>
        </is>
      </c>
      <c r="T60" s="11" t="n"/>
      <c r="U60" s="11" t="n"/>
      <c r="V60" s="11" t="n"/>
      <c r="W60" s="11" t="n"/>
      <c r="X60" s="11" t="n"/>
      <c r="Y60" s="11" t="n"/>
      <c r="Z60" s="11" t="n"/>
    </row>
    <row r="61" ht="26.75" customHeight="1">
      <c r="A61" s="11" t="n">
        <v>60</v>
      </c>
      <c r="B61" s="11" t="inlineStr">
        <is>
          <t>浴室</t>
        </is>
      </c>
      <c r="C61" s="11" t="inlineStr">
        <is>
          <t>施工</t>
        </is>
      </c>
      <c r="D61" s="11" t="inlineStr">
        <is>
          <t>左官工事　土間下地</t>
        </is>
      </c>
      <c r="E61" s="3" t="n">
        <v>1</v>
      </c>
      <c r="F61" s="11" t="inlineStr">
        <is>
          <t>式</t>
        </is>
      </c>
      <c r="G61" s="3" t="n"/>
      <c r="H61" s="3" t="n">
        <v>42800</v>
      </c>
      <c r="I61" s="3">
        <f>IF($A61="","",IF($S61&lt;&gt;"表示",0,IF($H61&gt;0,$H61,IFERROR($E61*$G61,0))))</f>
        <v/>
      </c>
      <c r="J61" s="3" t="n">
        <v>1</v>
      </c>
      <c r="K61" s="11" t="inlineStr">
        <is>
          <t>式</t>
        </is>
      </c>
      <c r="L61" s="3" t="n"/>
      <c r="M61" s="3" t="n">
        <v>30000</v>
      </c>
      <c r="N61" s="3">
        <f>IF($A61="","",IF($S61&lt;&gt;"表示",0,IF($M61&gt;0,$M61,IFERROR($J61*$L61,0))))</f>
        <v/>
      </c>
      <c r="O61" s="3">
        <f>IF($A61="","",$I61-$N61)</f>
        <v/>
      </c>
      <c r="P61" s="17">
        <f>IF($A61="","",IFERROR($O61/$I61,0))</f>
        <v/>
      </c>
      <c r="Q61" s="11" t="inlineStr">
        <is>
          <t>1.5人役</t>
        </is>
      </c>
      <c r="R61" s="11" t="n"/>
      <c r="S61" s="11" t="inlineStr">
        <is>
          <t>表示</t>
        </is>
      </c>
      <c r="T61" s="11" t="n"/>
      <c r="U61" s="11" t="n"/>
      <c r="V61" s="11" t="n"/>
      <c r="W61" s="11" t="n"/>
      <c r="X61" s="11" t="n"/>
      <c r="Y61" s="11" t="n"/>
      <c r="Z61" s="11" t="n"/>
    </row>
    <row r="62" ht="26.75" customHeight="1">
      <c r="A62" s="11" t="n">
        <v>61</v>
      </c>
      <c r="B62" s="11" t="inlineStr">
        <is>
          <t>浴室</t>
        </is>
      </c>
      <c r="C62" s="11" t="inlineStr">
        <is>
          <t>施工</t>
        </is>
      </c>
      <c r="D62" s="11" t="inlineStr">
        <is>
          <t>システムバス取付</t>
        </is>
      </c>
      <c r="E62" s="3" t="n">
        <v>1</v>
      </c>
      <c r="F62" s="11" t="inlineStr">
        <is>
          <t>式</t>
        </is>
      </c>
      <c r="G62" s="3" t="n"/>
      <c r="H62" s="3" t="n">
        <v>125700</v>
      </c>
      <c r="I62" s="3">
        <f>IF($A62="","",IF($S62&lt;&gt;"表示",0,IF($H62&gt;0,$H62,IFERROR($E62*$G62,0))))</f>
        <v/>
      </c>
      <c r="J62" s="3" t="n">
        <v>1</v>
      </c>
      <c r="K62" s="11" t="inlineStr">
        <is>
          <t>式</t>
        </is>
      </c>
      <c r="L62" s="3" t="n"/>
      <c r="M62" s="3" t="n">
        <v>88000</v>
      </c>
      <c r="N62" s="3">
        <f>IF($A62="","",IF($S62&lt;&gt;"表示",0,IF($M62&gt;0,$M62,IFERROR($J62*$L62,0))))</f>
        <v/>
      </c>
      <c r="O62" s="3">
        <f>IF($A62="","",$I62-$N62)</f>
        <v/>
      </c>
      <c r="P62" s="17">
        <f>IF($A62="","",IFERROR($O62/$I62,0))</f>
        <v/>
      </c>
      <c r="Q62" s="11" t="n"/>
      <c r="R62" s="11" t="n"/>
      <c r="S62" s="11" t="inlineStr">
        <is>
          <t>表示</t>
        </is>
      </c>
      <c r="T62" s="11" t="n"/>
      <c r="U62" s="11" t="n"/>
      <c r="V62" s="11" t="n"/>
      <c r="W62" s="11" t="n"/>
      <c r="X62" s="11" t="n"/>
      <c r="Y62" s="11" t="n"/>
      <c r="Z62" s="11" t="n"/>
    </row>
    <row r="63" ht="26.75" customHeight="1">
      <c r="A63" s="11" t="n">
        <v>62</v>
      </c>
      <c r="B63" s="11" t="inlineStr">
        <is>
          <t>浴室</t>
        </is>
      </c>
      <c r="C63" s="11" t="inlineStr">
        <is>
          <t>施工</t>
        </is>
      </c>
      <c r="D63" s="11" t="inlineStr">
        <is>
          <t>給水給湯排水工事</t>
        </is>
      </c>
      <c r="E63" s="3" t="n">
        <v>1</v>
      </c>
      <c r="F63" s="11" t="inlineStr">
        <is>
          <t>式</t>
        </is>
      </c>
      <c r="G63" s="3" t="n"/>
      <c r="H63" s="3" t="n">
        <v>64200</v>
      </c>
      <c r="I63" s="3">
        <f>IF($A63="","",IF($S63&lt;&gt;"表示",0,IF($H63&gt;0,$H63,IFERROR($E63*$G63,0))))</f>
        <v/>
      </c>
      <c r="J63" s="3" t="n">
        <v>1</v>
      </c>
      <c r="K63" s="11" t="inlineStr">
        <is>
          <t>式</t>
        </is>
      </c>
      <c r="L63" s="3" t="n"/>
      <c r="M63" s="3" t="n">
        <v>45000</v>
      </c>
      <c r="N63" s="3">
        <f>IF($A63="","",IF($S63&lt;&gt;"表示",0,IF($M63&gt;0,$M63,IFERROR($J63*$L63,0))))</f>
        <v/>
      </c>
      <c r="O63" s="3">
        <f>IF($A63="","",$I63-$N63)</f>
        <v/>
      </c>
      <c r="P63" s="17">
        <f>IF($A63="","",IFERROR($O63/$I63,0))</f>
        <v/>
      </c>
      <c r="Q63" s="11" t="n"/>
      <c r="R63" s="11" t="n"/>
      <c r="S63" s="11" t="inlineStr">
        <is>
          <t>表示</t>
        </is>
      </c>
      <c r="T63" s="11" t="n"/>
      <c r="U63" s="11" t="n"/>
      <c r="V63" s="11" t="n"/>
      <c r="W63" s="11" t="n"/>
      <c r="X63" s="11" t="n"/>
      <c r="Y63" s="11" t="n"/>
      <c r="Z63" s="11" t="n"/>
    </row>
    <row r="64" ht="26.75" customHeight="1">
      <c r="A64" s="11" t="n">
        <v>63</v>
      </c>
      <c r="B64" s="11" t="inlineStr">
        <is>
          <t>浴室</t>
        </is>
      </c>
      <c r="C64" s="11" t="inlineStr">
        <is>
          <t>施工</t>
        </is>
      </c>
      <c r="D64" s="11" t="inlineStr">
        <is>
          <t>ガス給湯器取替え工事</t>
        </is>
      </c>
      <c r="E64" s="3" t="n">
        <v>1</v>
      </c>
      <c r="F64" s="11" t="inlineStr">
        <is>
          <t>式</t>
        </is>
      </c>
      <c r="G64" s="3" t="n"/>
      <c r="H64" s="3" t="n">
        <v>22800</v>
      </c>
      <c r="I64" s="3">
        <f>IF($A64="","",IF($S64&lt;&gt;"表示",0,IF($H64&gt;0,$H64,IFERROR($E64*$G64,0))))</f>
        <v/>
      </c>
      <c r="J64" s="3" t="n">
        <v>1</v>
      </c>
      <c r="K64" s="11" t="inlineStr">
        <is>
          <t>式</t>
        </is>
      </c>
      <c r="L64" s="3" t="n"/>
      <c r="M64" s="3" t="n">
        <v>16000</v>
      </c>
      <c r="N64" s="3">
        <f>IF($A64="","",IF($S64&lt;&gt;"表示",0,IF($M64&gt;0,$M64,IFERROR($J64*$L64,0))))</f>
        <v/>
      </c>
      <c r="O64" s="3">
        <f>IF($A64="","",$I64-$N64)</f>
        <v/>
      </c>
      <c r="P64" s="17">
        <f>IF($A64="","",IFERROR($O64/$I64,0))</f>
        <v/>
      </c>
      <c r="Q64" s="11" t="n"/>
      <c r="R64" s="11" t="n"/>
      <c r="S64" s="11" t="inlineStr">
        <is>
          <t>表示</t>
        </is>
      </c>
      <c r="T64" s="11" t="n"/>
      <c r="U64" s="11" t="n"/>
      <c r="V64" s="11" t="n"/>
      <c r="W64" s="11" t="n"/>
      <c r="X64" s="11" t="n"/>
      <c r="Y64" s="11" t="n"/>
      <c r="Z64" s="11" t="n"/>
    </row>
    <row r="65" ht="26.75" customHeight="1">
      <c r="A65" s="11" t="n">
        <v>64</v>
      </c>
      <c r="B65" s="11" t="inlineStr">
        <is>
          <t>浴室</t>
        </is>
      </c>
      <c r="C65" s="11" t="inlineStr">
        <is>
          <t>施工</t>
        </is>
      </c>
      <c r="D65" s="11" t="inlineStr">
        <is>
          <t>電気及び換気工事</t>
        </is>
      </c>
      <c r="E65" s="3" t="n">
        <v>1</v>
      </c>
      <c r="F65" s="11" t="inlineStr">
        <is>
          <t>式</t>
        </is>
      </c>
      <c r="G65" s="3" t="n"/>
      <c r="H65" s="3" t="n">
        <v>40000</v>
      </c>
      <c r="I65" s="3">
        <f>IF($A65="","",IF($S65&lt;&gt;"表示",0,IF($H65&gt;0,$H65,IFERROR($E65*$G65,0))))</f>
        <v/>
      </c>
      <c r="J65" s="3" t="n">
        <v>1</v>
      </c>
      <c r="K65" s="11" t="inlineStr">
        <is>
          <t>式</t>
        </is>
      </c>
      <c r="L65" s="3" t="n"/>
      <c r="M65" s="3" t="n">
        <v>28000</v>
      </c>
      <c r="N65" s="3">
        <f>IF($A65="","",IF($S65&lt;&gt;"表示",0,IF($M65&gt;0,$M65,IFERROR($J65*$L65,0))))</f>
        <v/>
      </c>
      <c r="O65" s="3">
        <f>IF($A65="","",$I65-$N65)</f>
        <v/>
      </c>
      <c r="P65" s="17">
        <f>IF($A65="","",IFERROR($O65/$I65,0))</f>
        <v/>
      </c>
      <c r="Q65" s="11" t="n"/>
      <c r="R65" s="11" t="n"/>
      <c r="S65" s="11" t="inlineStr">
        <is>
          <t>表示</t>
        </is>
      </c>
      <c r="T65" s="11" t="n"/>
      <c r="U65" s="11" t="n"/>
      <c r="V65" s="11" t="n"/>
      <c r="W65" s="11" t="n"/>
      <c r="X65" s="11" t="n"/>
      <c r="Y65" s="11" t="n"/>
      <c r="Z65" s="11" t="n"/>
    </row>
    <row r="66" ht="26.75" customHeight="1">
      <c r="A66" s="11" t="n">
        <v>65</v>
      </c>
      <c r="B66" s="11" t="inlineStr">
        <is>
          <t>洗面所</t>
        </is>
      </c>
      <c r="C66" s="11" t="inlineStr">
        <is>
          <t>材料</t>
        </is>
      </c>
      <c r="D66" s="11" t="inlineStr">
        <is>
          <t>巾木</t>
        </is>
      </c>
      <c r="E66" s="3" t="n">
        <v>2</v>
      </c>
      <c r="F66" s="11" t="inlineStr">
        <is>
          <t>本</t>
        </is>
      </c>
      <c r="G66" s="3" t="n">
        <v>900</v>
      </c>
      <c r="H66" s="3" t="n"/>
      <c r="I66" s="3">
        <f>IF($A66="","",IF($S66&lt;&gt;"表示",0,IF($H66&gt;0,$H66,IFERROR($E66*$G66,0))))</f>
        <v/>
      </c>
      <c r="J66" s="3" t="n">
        <v>2</v>
      </c>
      <c r="K66" s="11" t="inlineStr">
        <is>
          <t>本</t>
        </is>
      </c>
      <c r="L66" s="3" t="n">
        <v>735</v>
      </c>
      <c r="M66" s="3" t="n"/>
      <c r="N66" s="3">
        <f>IF($A66="","",IF($S66&lt;&gt;"表示",0,IF($M66&gt;0,$M66,IFERROR($J66*$L66,0))))</f>
        <v/>
      </c>
      <c r="O66" s="3">
        <f>IF($A66="","",$I66-$N66)</f>
        <v/>
      </c>
      <c r="P66" s="17">
        <f>IF($A66="","",IFERROR($O66/$I66,0))</f>
        <v/>
      </c>
      <c r="Q66" s="11" t="inlineStr">
        <is>
          <t>定価2,100円/本×35％</t>
        </is>
      </c>
      <c r="R66" s="11" t="inlineStr">
        <is>
          <t>ノダ　巾木C　7×60×3,950㎜（3本入）☆</t>
        </is>
      </c>
      <c r="S66" s="11" t="inlineStr">
        <is>
          <t>表示</t>
        </is>
      </c>
      <c r="T66" s="11" t="n"/>
      <c r="U66" s="11" t="n"/>
      <c r="V66" s="11" t="n"/>
      <c r="W66" s="11" t="n"/>
      <c r="X66" s="11" t="n"/>
      <c r="Y66" s="11" t="n"/>
      <c r="Z66" s="11" t="n"/>
    </row>
    <row r="67" ht="26.75" customHeight="1">
      <c r="A67" s="11" t="n">
        <v>66</v>
      </c>
      <c r="B67" s="11" t="inlineStr">
        <is>
          <t>洗面所</t>
        </is>
      </c>
      <c r="C67" s="11" t="inlineStr">
        <is>
          <t>材料</t>
        </is>
      </c>
      <c r="D67" s="11" t="inlineStr">
        <is>
          <t>片開き戸（ドアのみ）</t>
        </is>
      </c>
      <c r="E67" s="3" t="n">
        <v>1</v>
      </c>
      <c r="F67" s="11" t="inlineStr">
        <is>
          <t>セット</t>
        </is>
      </c>
      <c r="G67" s="3" t="n">
        <v>28000</v>
      </c>
      <c r="H67" s="3" t="n"/>
      <c r="I67" s="3">
        <f>IF($A67="","",IF($S67&lt;&gt;"表示",0,IF($H67&gt;0,$H67,IFERROR($E67*$G67,0))))</f>
        <v/>
      </c>
      <c r="J67" s="3" t="n">
        <v>1</v>
      </c>
      <c r="K67" s="11" t="inlineStr">
        <is>
          <t>セット</t>
        </is>
      </c>
      <c r="L67" s="3" t="n">
        <v>21000</v>
      </c>
      <c r="M67" s="3" t="n"/>
      <c r="N67" s="3">
        <f>IF($A67="","",IF($S67&lt;&gt;"表示",0,IF($M67&gt;0,$M67,IFERROR($J67*$L67,0))))</f>
        <v/>
      </c>
      <c r="O67" s="3">
        <f>IF($A67="","",$I67-$N67)</f>
        <v/>
      </c>
      <c r="P67" s="17">
        <f>IF($A67="","",IFERROR($O67/$I67,0))</f>
        <v/>
      </c>
      <c r="Q67" s="11" t="n"/>
      <c r="R67" s="11" t="inlineStr">
        <is>
          <t>別注　明かり窓付フラッシュドア　金物含む</t>
        </is>
      </c>
      <c r="S67" s="11" t="inlineStr">
        <is>
          <t>表示</t>
        </is>
      </c>
      <c r="T67" s="11" t="n"/>
      <c r="U67" s="11" t="n"/>
      <c r="V67" s="11" t="n"/>
      <c r="W67" s="11" t="n"/>
      <c r="X67" s="11" t="n"/>
      <c r="Y67" s="11" t="n"/>
      <c r="Z67" s="11" t="n"/>
    </row>
    <row r="68" ht="26.75" customHeight="1">
      <c r="A68" s="11" t="n">
        <v>67</v>
      </c>
      <c r="B68" s="11" t="inlineStr">
        <is>
          <t>洗面所</t>
        </is>
      </c>
      <c r="C68" s="11" t="inlineStr">
        <is>
          <t>材料</t>
        </is>
      </c>
      <c r="D68" s="11" t="inlineStr">
        <is>
          <t>洗面化粧台　3面鏡　間口75㎝</t>
        </is>
      </c>
      <c r="E68" s="3" t="n">
        <v>1</v>
      </c>
      <c r="F68" s="11" t="inlineStr">
        <is>
          <t>セット</t>
        </is>
      </c>
      <c r="G68" s="3" t="n">
        <v>57900</v>
      </c>
      <c r="H68" s="3" t="n"/>
      <c r="I68" s="3">
        <f>IF($A68="","",IF($S68&lt;&gt;"表示",0,IF($H68&gt;0,$H68,IFERROR($E68*$G68,0))))</f>
        <v/>
      </c>
      <c r="J68" s="3" t="n">
        <v>1</v>
      </c>
      <c r="K68" s="11" t="inlineStr">
        <is>
          <t>セット</t>
        </is>
      </c>
      <c r="L68" s="3" t="n">
        <v>43460</v>
      </c>
      <c r="M68" s="3" t="n"/>
      <c r="N68" s="3">
        <f>IF($A68="","",IF($S68&lt;&gt;"表示",0,IF($M68&gt;0,$M68,IFERROR($J68*$L68,0))))</f>
        <v/>
      </c>
      <c r="O68" s="3">
        <f>IF($A68="","",$I68-$N68)</f>
        <v/>
      </c>
      <c r="P68" s="17">
        <f>IF($A68="","",IFERROR($O68/$I68,0))</f>
        <v/>
      </c>
      <c r="Q68" s="11" t="inlineStr">
        <is>
          <t>定価802,100円/本×33％</t>
        </is>
      </c>
      <c r="R68" s="11" t="inlineStr">
        <is>
          <t>TOTO　Vシリーズ　開き扉 ☆</t>
        </is>
      </c>
      <c r="S68" s="11" t="inlineStr">
        <is>
          <t>表示</t>
        </is>
      </c>
      <c r="T68" s="11" t="n"/>
      <c r="U68" s="11" t="n"/>
      <c r="V68" s="11" t="n"/>
      <c r="W68" s="11" t="n"/>
      <c r="X68" s="11" t="n"/>
      <c r="Y68" s="11" t="n"/>
      <c r="Z68" s="11" t="n"/>
    </row>
    <row r="69" ht="26.75" customHeight="1">
      <c r="A69" s="11" t="n">
        <v>68</v>
      </c>
      <c r="B69" s="11" t="inlineStr">
        <is>
          <t>洗面所</t>
        </is>
      </c>
      <c r="C69" s="11" t="inlineStr">
        <is>
          <t>材料</t>
        </is>
      </c>
      <c r="D69" s="11" t="inlineStr">
        <is>
          <t>タオル掛け（バータイプ）44.8㎝</t>
        </is>
      </c>
      <c r="E69" s="3" t="n">
        <v>1</v>
      </c>
      <c r="F69" s="11" t="inlineStr">
        <is>
          <t>台</t>
        </is>
      </c>
      <c r="G69" s="3" t="n">
        <v>1700</v>
      </c>
      <c r="H69" s="3" t="n"/>
      <c r="I69" s="3">
        <f>IF($A69="","",IF($S69&lt;&gt;"表示",0,IF($H69&gt;0,$H69,IFERROR($E69*$G69,0))))</f>
        <v/>
      </c>
      <c r="J69" s="3" t="n">
        <v>1</v>
      </c>
      <c r="K69" s="11" t="inlineStr">
        <is>
          <t>台</t>
        </is>
      </c>
      <c r="L69" s="3" t="n">
        <v>1325</v>
      </c>
      <c r="M69" s="3" t="n"/>
      <c r="N69" s="3">
        <f>IF($A69="","",IF($S69&lt;&gt;"表示",0,IF($M69&gt;0,$M69,IFERROR($J69*$L69,0))))</f>
        <v/>
      </c>
      <c r="O69" s="3">
        <f>IF($A69="","",$I69-$N69)</f>
        <v/>
      </c>
      <c r="P69" s="17">
        <f>IF($A69="","",IFERROR($O69/$I69,0))</f>
        <v/>
      </c>
      <c r="Q69" s="11" t="inlineStr">
        <is>
          <t>定価24,500円/本×33％</t>
        </is>
      </c>
      <c r="R69" s="11" t="inlineStr">
        <is>
          <t>TOTO　YT51S4R ☆</t>
        </is>
      </c>
      <c r="S69" s="11" t="inlineStr">
        <is>
          <t>表示</t>
        </is>
      </c>
      <c r="T69" s="11" t="n"/>
      <c r="U69" s="11" t="n"/>
      <c r="V69" s="11" t="n"/>
      <c r="W69" s="11" t="n"/>
      <c r="X69" s="11" t="n"/>
      <c r="Y69" s="11" t="n"/>
      <c r="Z69" s="11" t="n"/>
    </row>
    <row r="70" ht="26.75" customHeight="1">
      <c r="A70" s="11" t="n">
        <v>69</v>
      </c>
      <c r="B70" s="11" t="inlineStr">
        <is>
          <t>洗面所</t>
        </is>
      </c>
      <c r="C70" s="11" t="inlineStr">
        <is>
          <t>材料</t>
        </is>
      </c>
      <c r="D70" s="11" t="inlineStr">
        <is>
          <t>木枠塗装材ザ</t>
        </is>
      </c>
      <c r="E70" s="3" t="n">
        <v>1</v>
      </c>
      <c r="F70" s="11" t="inlineStr">
        <is>
          <t>式</t>
        </is>
      </c>
      <c r="G70" s="3" t="n"/>
      <c r="H70" s="3" t="n">
        <v>3200</v>
      </c>
      <c r="I70" s="3">
        <f>IF($A70="","",IF($S70&lt;&gt;"表示",0,IF($H70&gt;0,$H70,IFERROR($E70*$G70,0))))</f>
        <v/>
      </c>
      <c r="J70" s="3" t="n">
        <v>1</v>
      </c>
      <c r="K70" s="11" t="inlineStr">
        <is>
          <t>式</t>
        </is>
      </c>
      <c r="L70" s="3" t="n"/>
      <c r="M70" s="3" t="n">
        <v>2400</v>
      </c>
      <c r="N70" s="3">
        <f>IF($A70="","",IF($S70&lt;&gt;"表示",0,IF($M70&gt;0,$M70,IFERROR($J70*$L70,0))))</f>
        <v/>
      </c>
      <c r="O70" s="3">
        <f>IF($A70="","",$I70-$N70)</f>
        <v/>
      </c>
      <c r="P70" s="17">
        <f>IF($A70="","",IFERROR($O70/$I70,0))</f>
        <v/>
      </c>
      <c r="Q70" s="11" t="n"/>
      <c r="R70" s="11" t="n"/>
      <c r="S70" s="11" t="inlineStr">
        <is>
          <t>表示</t>
        </is>
      </c>
      <c r="T70" s="11" t="n"/>
      <c r="U70" s="11" t="n"/>
      <c r="V70" s="11" t="n"/>
      <c r="W70" s="11" t="n"/>
      <c r="X70" s="11" t="n"/>
      <c r="Y70" s="11" t="n"/>
      <c r="Z70" s="11" t="n"/>
    </row>
    <row r="71" ht="26.75" customHeight="1">
      <c r="A71" s="11" t="n">
        <v>70</v>
      </c>
      <c r="B71" s="11" t="inlineStr">
        <is>
          <t>洗面所</t>
        </is>
      </c>
      <c r="C71" s="11" t="inlineStr">
        <is>
          <t>施工</t>
        </is>
      </c>
      <c r="D71" s="11" t="inlineStr">
        <is>
          <t>巾木取替え</t>
        </is>
      </c>
      <c r="E71" s="3" t="n">
        <v>6</v>
      </c>
      <c r="F71" s="11" t="inlineStr">
        <is>
          <t>m</t>
        </is>
      </c>
      <c r="G71" s="3" t="n">
        <v>850</v>
      </c>
      <c r="H71" s="3" t="n"/>
      <c r="I71" s="3">
        <f>IF($A71="","",IF($S71&lt;&gt;"表示",0,IF($H71&gt;0,$H71,IFERROR($E71*$G71,0))))</f>
        <v/>
      </c>
      <c r="J71" s="3" t="n">
        <v>6</v>
      </c>
      <c r="K71" s="11" t="inlineStr">
        <is>
          <t>m</t>
        </is>
      </c>
      <c r="L71" s="3" t="n">
        <v>600</v>
      </c>
      <c r="M71" s="3" t="n"/>
      <c r="N71" s="3">
        <f>IF($A71="","",IF($S71&lt;&gt;"表示",0,IF($M71&gt;0,$M71,IFERROR($J71*$L71,0))))</f>
        <v/>
      </c>
      <c r="O71" s="3">
        <f>IF($A71="","",$I71-$N71)</f>
        <v/>
      </c>
      <c r="P71" s="17">
        <f>IF($A71="","",IFERROR($O71/$I71,0))</f>
        <v/>
      </c>
      <c r="Q71" s="11" t="n"/>
      <c r="R71" s="11" t="n"/>
      <c r="S71" s="11" t="inlineStr">
        <is>
          <t>表示</t>
        </is>
      </c>
      <c r="T71" s="11" t="n"/>
      <c r="U71" s="11" t="n"/>
      <c r="V71" s="11" t="n"/>
      <c r="W71" s="11" t="n"/>
      <c r="X71" s="11" t="n"/>
      <c r="Y71" s="11" t="n"/>
      <c r="Z71" s="11" t="n"/>
    </row>
    <row r="72" ht="26.75" customHeight="1">
      <c r="A72" s="11" t="n">
        <v>71</v>
      </c>
      <c r="B72" s="11" t="inlineStr">
        <is>
          <t>洗面所</t>
        </is>
      </c>
      <c r="C72" s="11" t="inlineStr">
        <is>
          <t>施工</t>
        </is>
      </c>
      <c r="D72" s="11" t="inlineStr">
        <is>
          <t>片開き戸取替え</t>
        </is>
      </c>
      <c r="E72" s="3" t="n">
        <v>1</v>
      </c>
      <c r="F72" s="11" t="inlineStr">
        <is>
          <t>式</t>
        </is>
      </c>
      <c r="G72" s="3" t="n"/>
      <c r="H72" s="3" t="n">
        <v>4200</v>
      </c>
      <c r="I72" s="3">
        <f>IF($A72="","",IF($S72&lt;&gt;"表示",0,IF($H72&gt;0,$H72,IFERROR($E72*$G72,0))))</f>
        <v/>
      </c>
      <c r="J72" s="3" t="n">
        <v>1</v>
      </c>
      <c r="K72" s="11" t="inlineStr">
        <is>
          <t>式</t>
        </is>
      </c>
      <c r="L72" s="3" t="n"/>
      <c r="M72" s="3" t="n">
        <v>3000</v>
      </c>
      <c r="N72" s="3">
        <f>IF($A72="","",IF($S72&lt;&gt;"表示",0,IF($M72&gt;0,$M72,IFERROR($J72*$L72,0))))</f>
        <v/>
      </c>
      <c r="O72" s="3">
        <f>IF($A72="","",$I72-$N72)</f>
        <v/>
      </c>
      <c r="P72" s="17">
        <f>IF($A72="","",IFERROR($O72/$I72,0))</f>
        <v/>
      </c>
      <c r="Q72" s="11" t="n"/>
      <c r="R72" s="11" t="inlineStr">
        <is>
          <t>建付調整</t>
        </is>
      </c>
      <c r="S72" s="11" t="inlineStr">
        <is>
          <t>表示</t>
        </is>
      </c>
      <c r="T72" s="11" t="n"/>
      <c r="U72" s="11" t="n"/>
      <c r="V72" s="11" t="n"/>
      <c r="W72" s="11" t="n"/>
      <c r="X72" s="11" t="n"/>
      <c r="Y72" s="11" t="n"/>
      <c r="Z72" s="11" t="n"/>
    </row>
    <row r="73" ht="26.75" customHeight="1">
      <c r="A73" s="11" t="n">
        <v>72</v>
      </c>
      <c r="B73" s="11" t="inlineStr">
        <is>
          <t>洗面所</t>
        </is>
      </c>
      <c r="C73" s="11" t="inlineStr">
        <is>
          <t>施工</t>
        </is>
      </c>
      <c r="D73" s="11" t="inlineStr">
        <is>
          <t>洗面台脱着工事</t>
        </is>
      </c>
      <c r="E73" s="3" t="n">
        <v>1</v>
      </c>
      <c r="F73" s="11" t="inlineStr">
        <is>
          <t>式</t>
        </is>
      </c>
      <c r="G73" s="3" t="n"/>
      <c r="H73" s="3" t="n">
        <v>20000</v>
      </c>
      <c r="I73" s="3">
        <f>IF($A73="","",IF($S73&lt;&gt;"表示",0,IF($H73&gt;0,$H73,IFERROR($E73*$G73,0))))</f>
        <v/>
      </c>
      <c r="J73" s="3" t="n">
        <v>1</v>
      </c>
      <c r="K73" s="11" t="inlineStr">
        <is>
          <t>式</t>
        </is>
      </c>
      <c r="L73" s="3" t="n"/>
      <c r="M73" s="3" t="n">
        <v>14000</v>
      </c>
      <c r="N73" s="3">
        <f>IF($A73="","",IF($S73&lt;&gt;"表示",0,IF($M73&gt;0,$M73,IFERROR($J73*$L73,0))))</f>
        <v/>
      </c>
      <c r="O73" s="3">
        <f>IF($A73="","",$I73-$N73)</f>
        <v/>
      </c>
      <c r="P73" s="17">
        <f>IF($A73="","",IFERROR($O73/$I73,0))</f>
        <v/>
      </c>
      <c r="Q73" s="11" t="n"/>
      <c r="R73" s="11" t="inlineStr">
        <is>
          <t>電気結線含む</t>
        </is>
      </c>
      <c r="S73" s="11" t="inlineStr">
        <is>
          <t>表示</t>
        </is>
      </c>
      <c r="T73" s="11" t="n"/>
      <c r="U73" s="11" t="n"/>
      <c r="V73" s="11" t="n"/>
      <c r="W73" s="11" t="n"/>
      <c r="X73" s="11" t="n"/>
      <c r="Y73" s="11" t="n"/>
      <c r="Z73" s="11" t="n"/>
    </row>
    <row r="74" ht="26.75" customHeight="1">
      <c r="A74" s="11" t="n">
        <v>73</v>
      </c>
      <c r="B74" s="11" t="inlineStr">
        <is>
          <t>洗面所</t>
        </is>
      </c>
      <c r="C74" s="11" t="inlineStr">
        <is>
          <t>経費</t>
        </is>
      </c>
      <c r="D74" s="11" t="inlineStr">
        <is>
          <t>既存洗面化粧台廃棄費</t>
        </is>
      </c>
      <c r="E74" s="3" t="n">
        <v>1</v>
      </c>
      <c r="F74" s="11" t="inlineStr">
        <is>
          <t>式</t>
        </is>
      </c>
      <c r="G74" s="3" t="n"/>
      <c r="H74" s="3" t="n">
        <v>7100</v>
      </c>
      <c r="I74" s="3">
        <f>IF($A74="","",IF($S74&lt;&gt;"表示",0,IF($H74&gt;0,$H74,IFERROR($E74*$G74,0))))</f>
        <v/>
      </c>
      <c r="J74" s="3" t="n">
        <v>1</v>
      </c>
      <c r="K74" s="11" t="inlineStr">
        <is>
          <t>式</t>
        </is>
      </c>
      <c r="L74" s="3" t="n"/>
      <c r="M74" s="3" t="n">
        <v>5000</v>
      </c>
      <c r="N74" s="3">
        <f>IF($A74="","",IF($S74&lt;&gt;"表示",0,IF($M74&gt;0,$M74,IFERROR($J74*$L74,0))))</f>
        <v/>
      </c>
      <c r="O74" s="3">
        <f>IF($A74="","",$I74-$N74)</f>
        <v/>
      </c>
      <c r="P74" s="17">
        <f>IF($A74="","",IFERROR($O74/$I74,0))</f>
        <v/>
      </c>
      <c r="Q74" s="11" t="n"/>
      <c r="R74" s="11" t="n"/>
      <c r="S74" s="11" t="inlineStr">
        <is>
          <t>表示</t>
        </is>
      </c>
      <c r="T74" s="11" t="n"/>
      <c r="U74" s="11" t="n"/>
      <c r="V74" s="11" t="n"/>
      <c r="W74" s="11" t="n"/>
      <c r="X74" s="11" t="n"/>
      <c r="Y74" s="11" t="n"/>
      <c r="Z74" s="11" t="n"/>
    </row>
    <row r="75" ht="26.75" customHeight="1">
      <c r="A75" s="11" t="n">
        <v>74</v>
      </c>
      <c r="B75" s="11" t="inlineStr">
        <is>
          <t>洗面所</t>
        </is>
      </c>
      <c r="C75" s="11" t="inlineStr">
        <is>
          <t>施工</t>
        </is>
      </c>
      <c r="D75" s="11" t="inlineStr">
        <is>
          <t>タオル掛け取付</t>
        </is>
      </c>
      <c r="E75" s="3" t="n">
        <v>1</v>
      </c>
      <c r="F75" s="11" t="inlineStr">
        <is>
          <t>式</t>
        </is>
      </c>
      <c r="G75" s="3" t="n"/>
      <c r="H75" s="3" t="n">
        <v>1400</v>
      </c>
      <c r="I75" s="3">
        <f>IF($A75="","",IF($S75&lt;&gt;"表示",0,IF($H75&gt;0,$H75,IFERROR($E75*$G75,0))))</f>
        <v/>
      </c>
      <c r="J75" s="3" t="n">
        <v>1</v>
      </c>
      <c r="K75" s="11" t="inlineStr">
        <is>
          <t>式</t>
        </is>
      </c>
      <c r="L75" s="3" t="n"/>
      <c r="M75" s="3" t="n">
        <v>1000</v>
      </c>
      <c r="N75" s="3">
        <f>IF($A75="","",IF($S75&lt;&gt;"表示",0,IF($M75&gt;0,$M75,IFERROR($J75*$L75,0))))</f>
        <v/>
      </c>
      <c r="O75" s="3">
        <f>IF($A75="","",$I75-$N75)</f>
        <v/>
      </c>
      <c r="P75" s="17">
        <f>IF($A75="","",IFERROR($O75/$I75,0))</f>
        <v/>
      </c>
      <c r="Q75" s="11" t="n"/>
      <c r="R75" s="11" t="n"/>
      <c r="S75" s="11" t="inlineStr">
        <is>
          <t>表示</t>
        </is>
      </c>
      <c r="T75" s="11" t="n"/>
      <c r="U75" s="11" t="n"/>
      <c r="V75" s="11" t="n"/>
      <c r="W75" s="11" t="n"/>
      <c r="X75" s="11" t="n"/>
      <c r="Y75" s="11" t="n"/>
      <c r="Z75" s="11" t="n"/>
    </row>
    <row r="76" ht="26.75" customHeight="1">
      <c r="A76" s="11" t="n">
        <v>75</v>
      </c>
      <c r="B76" s="11" t="inlineStr">
        <is>
          <t>洗面所</t>
        </is>
      </c>
      <c r="C76" s="11" t="inlineStr">
        <is>
          <t>施工</t>
        </is>
      </c>
      <c r="D76" s="11" t="inlineStr">
        <is>
          <t>床　クッションフロア貼替え</t>
        </is>
      </c>
      <c r="E76" s="3" t="n">
        <v>1</v>
      </c>
      <c r="F76" s="11" t="inlineStr">
        <is>
          <t>式</t>
        </is>
      </c>
      <c r="G76" s="3" t="n"/>
      <c r="H76" s="3" t="n">
        <v>14200</v>
      </c>
      <c r="I76" s="3">
        <f>IF($A76="","",IF($S76&lt;&gt;"表示",0,IF($H76&gt;0,$H76,IFERROR($E76*$G76,0))))</f>
        <v/>
      </c>
      <c r="J76" s="3" t="n">
        <v>1</v>
      </c>
      <c r="K76" s="11" t="inlineStr">
        <is>
          <t>式</t>
        </is>
      </c>
      <c r="L76" s="3" t="n"/>
      <c r="M76" s="3" t="n">
        <v>10000</v>
      </c>
      <c r="N76" s="3">
        <f>IF($A76="","",IF($S76&lt;&gt;"表示",0,IF($M76&gt;0,$M76,IFERROR($J76*$L76,0))))</f>
        <v/>
      </c>
      <c r="O76" s="3">
        <f>IF($A76="","",$I76-$N76)</f>
        <v/>
      </c>
      <c r="P76" s="17">
        <f>IF($A76="","",IFERROR($O76/$I76,0))</f>
        <v/>
      </c>
      <c r="Q76" s="11" t="inlineStr">
        <is>
          <t>材工共</t>
        </is>
      </c>
      <c r="R76" s="11" t="n"/>
      <c r="S76" s="11" t="inlineStr">
        <is>
          <t>表示</t>
        </is>
      </c>
      <c r="T76" s="11" t="n"/>
      <c r="U76" s="11" t="n"/>
      <c r="V76" s="11" t="n"/>
      <c r="W76" s="11" t="n"/>
      <c r="X76" s="11" t="n"/>
      <c r="Y76" s="11" t="n"/>
      <c r="Z76" s="11" t="n"/>
    </row>
    <row r="77" ht="26.75" customHeight="1">
      <c r="A77" s="11" t="n">
        <v>76</v>
      </c>
      <c r="B77" s="11" t="inlineStr">
        <is>
          <t>洗面所</t>
        </is>
      </c>
      <c r="C77" s="11" t="inlineStr">
        <is>
          <t>施工</t>
        </is>
      </c>
      <c r="D77" s="11" t="inlineStr">
        <is>
          <t>天井・壁　ビニールクロス貼替え</t>
        </is>
      </c>
      <c r="E77" s="3" t="n">
        <v>16</v>
      </c>
      <c r="F77" s="11" t="inlineStr">
        <is>
          <t>㎡</t>
        </is>
      </c>
      <c r="G77" s="3" t="n">
        <v>1140</v>
      </c>
      <c r="H77" s="3" t="n"/>
      <c r="I77" s="3">
        <f>IF($A77="","",IF($S77&lt;&gt;"表示",0,IF($H77&gt;0,$H77,IFERROR($E77*$G77,0))))</f>
        <v/>
      </c>
      <c r="J77" s="3" t="n">
        <v>16</v>
      </c>
      <c r="K77" s="11" t="inlineStr">
        <is>
          <t>㎡</t>
        </is>
      </c>
      <c r="L77" s="3" t="n">
        <v>650</v>
      </c>
      <c r="M77" s="3" t="n"/>
      <c r="N77" s="3">
        <f>IF($A77="","",IF($S77&lt;&gt;"表示",0,IF($M77&gt;0,$M77,IFERROR($J77*$L77,0))))</f>
        <v/>
      </c>
      <c r="O77" s="3">
        <f>IF($A77="","",$I77-$N77)</f>
        <v/>
      </c>
      <c r="P77" s="17">
        <f>IF($A77="","",IFERROR($O77/$I77,0))</f>
        <v/>
      </c>
      <c r="Q77" s="11" t="inlineStr">
        <is>
          <t>材工共</t>
        </is>
      </c>
      <c r="R77" s="11" t="inlineStr">
        <is>
          <t>量産品　SP</t>
        </is>
      </c>
      <c r="S77" s="11" t="inlineStr">
        <is>
          <t>表示</t>
        </is>
      </c>
      <c r="T77" s="11" t="n"/>
      <c r="U77" s="11" t="n"/>
      <c r="V77" s="11" t="n"/>
      <c r="W77" s="11" t="n"/>
      <c r="X77" s="11" t="n"/>
      <c r="Y77" s="11" t="n"/>
      <c r="Z77" s="11" t="n"/>
    </row>
    <row r="78" ht="26.75" customHeight="1">
      <c r="A78" s="11" t="n">
        <v>77</v>
      </c>
      <c r="B78" s="11" t="inlineStr">
        <is>
          <t>洗面所</t>
        </is>
      </c>
      <c r="C78" s="11" t="inlineStr">
        <is>
          <t>施工</t>
        </is>
      </c>
      <c r="D78" s="11" t="inlineStr">
        <is>
          <t>木枠塗装</t>
        </is>
      </c>
      <c r="E78" s="3" t="n">
        <v>1</v>
      </c>
      <c r="F78" s="11" t="inlineStr">
        <is>
          <t>式</t>
        </is>
      </c>
      <c r="G78" s="3" t="n"/>
      <c r="H78" s="3" t="n">
        <v>4200</v>
      </c>
      <c r="I78" s="3">
        <f>IF($A78="","",IF($S78&lt;&gt;"表示",0,IF($H78&gt;0,$H78,IFERROR($E78*$G78,0))))</f>
        <v/>
      </c>
      <c r="J78" s="3" t="n">
        <v>1</v>
      </c>
      <c r="K78" s="11" t="inlineStr">
        <is>
          <t>式</t>
        </is>
      </c>
      <c r="L78" s="3" t="n"/>
      <c r="M78" s="3" t="n">
        <v>3000</v>
      </c>
      <c r="N78" s="3">
        <f>IF($A78="","",IF($S78&lt;&gt;"表示",0,IF($M78&gt;0,$M78,IFERROR($J78*$L78,0))))</f>
        <v/>
      </c>
      <c r="O78" s="3">
        <f>IF($A78="","",$I78-$N78)</f>
        <v/>
      </c>
      <c r="P78" s="17">
        <f>IF($A78="","",IFERROR($O78/$I78,0))</f>
        <v/>
      </c>
      <c r="Q78" s="11" t="n"/>
      <c r="R78" s="11" t="n"/>
      <c r="S78" s="11" t="inlineStr">
        <is>
          <t>表示</t>
        </is>
      </c>
      <c r="T78" s="11" t="n"/>
      <c r="U78" s="11" t="n"/>
      <c r="V78" s="11" t="n"/>
      <c r="W78" s="11" t="n"/>
      <c r="X78" s="11" t="n"/>
      <c r="Y78" s="11" t="n"/>
      <c r="Z78" s="11" t="n"/>
    </row>
    <row r="79" ht="26.75" customHeight="1">
      <c r="A79" s="11" t="n">
        <v>78</v>
      </c>
      <c r="B79" s="11" t="inlineStr">
        <is>
          <t>洗面所</t>
        </is>
      </c>
      <c r="C79" s="11" t="inlineStr">
        <is>
          <t>施工</t>
        </is>
      </c>
      <c r="D79" s="11" t="inlineStr">
        <is>
          <t>プレート取替え</t>
        </is>
      </c>
      <c r="E79" s="3" t="n">
        <v>2</v>
      </c>
      <c r="F79" s="11" t="inlineStr">
        <is>
          <t>セット</t>
        </is>
      </c>
      <c r="G79" s="3" t="n">
        <v>850</v>
      </c>
      <c r="H79" s="3" t="n"/>
      <c r="I79" s="3">
        <f>IF($A79="","",IF($S79&lt;&gt;"表示",0,IF($H79&gt;0,$H79,IFERROR($E79*$G79,0))))</f>
        <v/>
      </c>
      <c r="J79" s="3" t="n">
        <v>2</v>
      </c>
      <c r="K79" s="11" t="inlineStr">
        <is>
          <t>セット</t>
        </is>
      </c>
      <c r="L79" s="3" t="n">
        <v>600</v>
      </c>
      <c r="M79" s="3" t="n"/>
      <c r="N79" s="3">
        <f>IF($A79="","",IF($S79&lt;&gt;"表示",0,IF($M79&gt;0,$M79,IFERROR($J79*$L79,0))))</f>
        <v/>
      </c>
      <c r="O79" s="3">
        <f>IF($A79="","",$I79-$N79)</f>
        <v/>
      </c>
      <c r="P79" s="17">
        <f>IF($A79="","",IFERROR($O79/$I79,0))</f>
        <v/>
      </c>
      <c r="Q79" s="11" t="inlineStr">
        <is>
          <t>材工共</t>
        </is>
      </c>
      <c r="R79" s="11" t="n"/>
      <c r="S79" s="11" t="inlineStr">
        <is>
          <t>表示</t>
        </is>
      </c>
      <c r="T79" s="11" t="n"/>
      <c r="U79" s="11" t="n"/>
      <c r="V79" s="11" t="n"/>
      <c r="W79" s="11" t="n"/>
      <c r="X79" s="11" t="n"/>
      <c r="Y79" s="11" t="n"/>
      <c r="Z79" s="11" t="n"/>
    </row>
    <row r="80" ht="26.75" customHeight="1">
      <c r="A80" s="11" t="n">
        <v>79</v>
      </c>
      <c r="B80" s="11" t="inlineStr">
        <is>
          <t>トイレ</t>
        </is>
      </c>
      <c r="C80" s="11" t="inlineStr">
        <is>
          <t>材料</t>
        </is>
      </c>
      <c r="D80" s="11" t="inlineStr">
        <is>
          <t>巾木</t>
        </is>
      </c>
      <c r="E80" s="3" t="n">
        <v>2</v>
      </c>
      <c r="F80" s="11" t="inlineStr">
        <is>
          <t>本</t>
        </is>
      </c>
      <c r="G80" s="3" t="n">
        <v>900</v>
      </c>
      <c r="H80" s="3" t="n"/>
      <c r="I80" s="3">
        <f>IF($A80="","",IF($S80&lt;&gt;"表示",0,IF($H80&gt;0,$H80,IFERROR($E80*$G80,0))))</f>
        <v/>
      </c>
      <c r="J80" s="3" t="n">
        <v>2</v>
      </c>
      <c r="K80" s="11" t="inlineStr">
        <is>
          <t>本</t>
        </is>
      </c>
      <c r="L80" s="3" t="n">
        <v>735</v>
      </c>
      <c r="M80" s="3" t="n"/>
      <c r="N80" s="3">
        <f>IF($A80="","",IF($S80&lt;&gt;"表示",0,IF($M80&gt;0,$M80,IFERROR($J80*$L80,0))))</f>
        <v/>
      </c>
      <c r="O80" s="3">
        <f>IF($A80="","",$I80-$N80)</f>
        <v/>
      </c>
      <c r="P80" s="17">
        <f>IF($A80="","",IFERROR($O80/$I80,0))</f>
        <v/>
      </c>
      <c r="Q80" s="11" t="inlineStr">
        <is>
          <t>定価2,010円/本×35％</t>
        </is>
      </c>
      <c r="R80" s="11" t="inlineStr">
        <is>
          <t>ノダ　巾木C　7×60×3,950㎜（3本入） ☆イ</t>
        </is>
      </c>
      <c r="S80" s="11" t="inlineStr">
        <is>
          <t>表示</t>
        </is>
      </c>
      <c r="T80" s="11" t="n"/>
      <c r="U80" s="11" t="n"/>
      <c r="V80" s="11" t="n"/>
      <c r="W80" s="11" t="n"/>
      <c r="X80" s="11" t="n"/>
      <c r="Y80" s="11" t="n"/>
      <c r="Z80" s="11" t="n"/>
    </row>
    <row r="81" ht="26.75" customHeight="1">
      <c r="A81" s="11" t="n">
        <v>80</v>
      </c>
      <c r="B81" s="11" t="inlineStr">
        <is>
          <t>トイレ</t>
        </is>
      </c>
      <c r="C81" s="11" t="inlineStr">
        <is>
          <t>材料</t>
        </is>
      </c>
      <c r="D81" s="11" t="inlineStr">
        <is>
          <t>片開き戸（ドアのみ）</t>
        </is>
      </c>
      <c r="E81" s="3" t="n">
        <v>1</v>
      </c>
      <c r="F81" s="11" t="inlineStr">
        <is>
          <t>セット</t>
        </is>
      </c>
      <c r="G81" s="3" t="n">
        <v>28000</v>
      </c>
      <c r="H81" s="3" t="n"/>
      <c r="I81" s="3">
        <f>IF($A81="","",IF($S81&lt;&gt;"表示",0,IF($H81&gt;0,$H81,IFERROR($E81*$G81,0))))</f>
        <v/>
      </c>
      <c r="J81" s="3" t="n">
        <v>1</v>
      </c>
      <c r="K81" s="11" t="inlineStr">
        <is>
          <t>セット</t>
        </is>
      </c>
      <c r="L81" s="3" t="n">
        <v>21000</v>
      </c>
      <c r="M81" s="3" t="n"/>
      <c r="N81" s="3">
        <f>IF($A81="","",IF($S81&lt;&gt;"表示",0,IF($M81&gt;0,$M81,IFERROR($J81*$L81,0))))</f>
        <v/>
      </c>
      <c r="O81" s="3">
        <f>IF($A81="","",$I81-$N81)</f>
        <v/>
      </c>
      <c r="P81" s="17">
        <f>IF($A81="","",IFERROR($O81/$I81,0))</f>
        <v/>
      </c>
      <c r="Q81" s="11" t="n"/>
      <c r="R81" s="11" t="inlineStr">
        <is>
          <t>別注　明かり窓付フラッシュ戸　金物含む</t>
        </is>
      </c>
      <c r="S81" s="11" t="inlineStr">
        <is>
          <t>表示</t>
        </is>
      </c>
      <c r="T81" s="11" t="n"/>
      <c r="U81" s="11" t="n"/>
      <c r="V81" s="11" t="n"/>
      <c r="W81" s="11" t="n"/>
      <c r="X81" s="11" t="n"/>
      <c r="Y81" s="11" t="n"/>
      <c r="Z81" s="11" t="n"/>
    </row>
    <row r="82" ht="26.75" customHeight="1">
      <c r="A82" s="11" t="n">
        <v>81</v>
      </c>
      <c r="B82" s="11" t="inlineStr">
        <is>
          <t>トイレ</t>
        </is>
      </c>
      <c r="C82" s="11" t="inlineStr">
        <is>
          <t>材料</t>
        </is>
      </c>
      <c r="D82" s="11" t="inlineStr">
        <is>
          <t>便器（床排水・リフォームタイプ）＋温水洗浄便座</t>
        </is>
      </c>
      <c r="E82" s="3" t="n">
        <v>1</v>
      </c>
      <c r="F82" s="11" t="inlineStr">
        <is>
          <t>セット</t>
        </is>
      </c>
      <c r="G82" s="3" t="n">
        <v>97200</v>
      </c>
      <c r="H82" s="3" t="n"/>
      <c r="I82" s="3">
        <f>IF($A82="","",IF($S82&lt;&gt;"表示",0,IF($H82&gt;0,$H82,IFERROR($E82*$G82,0))))</f>
        <v/>
      </c>
      <c r="J82" s="3" t="n">
        <v>1</v>
      </c>
      <c r="K82" s="11" t="inlineStr">
        <is>
          <t>セット</t>
        </is>
      </c>
      <c r="L82" s="3" t="n">
        <v>72912</v>
      </c>
      <c r="M82" s="3" t="n"/>
      <c r="N82" s="3">
        <f>IF($A82="","",IF($S82&lt;&gt;"表示",0,IF($M82&gt;0,$M82,IFERROR($J82*$L82,0))))</f>
        <v/>
      </c>
      <c r="O82" s="3">
        <f>IF($A82="","",$I82-$N82)</f>
        <v/>
      </c>
      <c r="P82" s="17">
        <f>IF($A82="","",IFERROR($O82/$I82,0))</f>
        <v/>
      </c>
      <c r="Q82" s="11" t="inlineStr">
        <is>
          <t>定価173,600円×42％</t>
        </is>
      </c>
      <c r="R82" s="11" t="inlineStr">
        <is>
          <t>TOTO　ピュアレストQR＋ウォシュレットJ2 ☆</t>
        </is>
      </c>
      <c r="S82" s="11" t="inlineStr">
        <is>
          <t>表示</t>
        </is>
      </c>
      <c r="T82" s="11" t="n"/>
      <c r="U82" s="11" t="n"/>
      <c r="V82" s="11" t="n"/>
      <c r="W82" s="11" t="n"/>
      <c r="X82" s="11" t="n"/>
      <c r="Y82" s="11" t="n"/>
      <c r="Z82" s="11" t="n"/>
    </row>
    <row r="83" ht="26.75" customHeight="1">
      <c r="A83" s="11" t="n">
        <v>82</v>
      </c>
      <c r="B83" s="11" t="inlineStr">
        <is>
          <t>トイレ</t>
        </is>
      </c>
      <c r="C83" s="11" t="inlineStr">
        <is>
          <t>材料</t>
        </is>
      </c>
      <c r="D83" s="11" t="inlineStr">
        <is>
          <t>ペーパーホルダー</t>
        </is>
      </c>
      <c r="E83" s="3" t="n">
        <v>1</v>
      </c>
      <c r="F83" s="11" t="inlineStr">
        <is>
          <t>台</t>
        </is>
      </c>
      <c r="G83" s="3" t="n">
        <v>1700</v>
      </c>
      <c r="H83" s="3" t="n"/>
      <c r="I83" s="3">
        <f>IF($A83="","",IF($S83&lt;&gt;"表示",0,IF($H83&gt;0,$H83,IFERROR($E83*$G83,0))))</f>
        <v/>
      </c>
      <c r="J83" s="3" t="n">
        <v>1</v>
      </c>
      <c r="K83" s="11" t="inlineStr">
        <is>
          <t>台</t>
        </is>
      </c>
      <c r="L83" s="3" t="n">
        <v>1325</v>
      </c>
      <c r="M83" s="3" t="n"/>
      <c r="N83" s="3">
        <f>IF($A83="","",IF($S83&lt;&gt;"表示",0,IF($M83&gt;0,$M83,IFERROR($J83*$L83,0))))</f>
        <v/>
      </c>
      <c r="O83" s="3">
        <f>IF($A83="","",$I83-$N83)</f>
        <v/>
      </c>
      <c r="P83" s="17">
        <f>IF($A83="","",IFERROR($O83/$I83,0))</f>
        <v/>
      </c>
      <c r="Q83" s="11" t="inlineStr">
        <is>
          <t>定価2,650円×50％</t>
        </is>
      </c>
      <c r="R83" s="11" t="inlineStr">
        <is>
          <t>TOTO　YH51R ☆</t>
        </is>
      </c>
      <c r="S83" s="11" t="inlineStr">
        <is>
          <t>表示</t>
        </is>
      </c>
      <c r="T83" s="11" t="n"/>
      <c r="U83" s="11" t="n"/>
      <c r="V83" s="11" t="n"/>
      <c r="W83" s="11" t="n"/>
      <c r="X83" s="11" t="n"/>
      <c r="Y83" s="11" t="n"/>
      <c r="Z83" s="11" t="n"/>
    </row>
    <row r="84" ht="26.75" customHeight="1">
      <c r="A84" s="11" t="n">
        <v>83</v>
      </c>
      <c r="B84" s="11" t="inlineStr">
        <is>
          <t>トイレ</t>
        </is>
      </c>
      <c r="C84" s="11" t="inlineStr">
        <is>
          <t>材料</t>
        </is>
      </c>
      <c r="D84" s="11" t="inlineStr">
        <is>
          <t>タオル掛け（リングタイプ）</t>
        </is>
      </c>
      <c r="E84" s="3" t="n">
        <v>1</v>
      </c>
      <c r="F84" s="11" t="inlineStr">
        <is>
          <t>台ダ</t>
        </is>
      </c>
      <c r="G84" s="3" t="n">
        <v>1700</v>
      </c>
      <c r="H84" s="3" t="n"/>
      <c r="I84" s="3">
        <f>IF($A84="","",IF($S84&lt;&gt;"表示",0,IF($H84&gt;0,$H84,IFERROR($E84*$G84,0))))</f>
        <v/>
      </c>
      <c r="J84" s="3" t="n">
        <v>1</v>
      </c>
      <c r="K84" s="11" t="inlineStr">
        <is>
          <t>台ダ</t>
        </is>
      </c>
      <c r="L84" s="3" t="n">
        <v>1325</v>
      </c>
      <c r="M84" s="3" t="n"/>
      <c r="N84" s="3">
        <f>IF($A84="","",IF($S84&lt;&gt;"表示",0,IF($M84&gt;0,$M84,IFERROR($J84*$L84,0))))</f>
        <v/>
      </c>
      <c r="O84" s="3">
        <f>IF($A84="","",$I84-$N84)</f>
        <v/>
      </c>
      <c r="P84" s="17">
        <f>IF($A84="","",IFERROR($O84/$I84,0))</f>
        <v/>
      </c>
      <c r="Q84" s="11" t="inlineStr">
        <is>
          <t>定価2,650円×50％</t>
        </is>
      </c>
      <c r="R84" s="11" t="inlineStr">
        <is>
          <t>TOTO　YH51R ☆</t>
        </is>
      </c>
      <c r="S84" s="11" t="inlineStr">
        <is>
          <t>表示</t>
        </is>
      </c>
      <c r="T84" s="11" t="n"/>
      <c r="U84" s="11" t="n"/>
      <c r="V84" s="11" t="n"/>
      <c r="W84" s="11" t="n"/>
      <c r="X84" s="11" t="n"/>
      <c r="Y84" s="11" t="n"/>
      <c r="Z84" s="11" t="n"/>
    </row>
    <row r="85" ht="26.75" customHeight="1">
      <c r="A85" s="11" t="n">
        <v>84</v>
      </c>
      <c r="B85" s="11" t="inlineStr">
        <is>
          <t>トイレ</t>
        </is>
      </c>
      <c r="C85" s="11" t="inlineStr">
        <is>
          <t>材料</t>
        </is>
      </c>
      <c r="D85" s="11" t="inlineStr">
        <is>
          <t>木枠塗装剤</t>
        </is>
      </c>
      <c r="E85" s="3" t="n">
        <v>1</v>
      </c>
      <c r="F85" s="11" t="inlineStr">
        <is>
          <t>式</t>
        </is>
      </c>
      <c r="G85" s="3" t="n"/>
      <c r="H85" s="3" t="n">
        <v>3200</v>
      </c>
      <c r="I85" s="3">
        <f>IF($A85="","",IF($S85&lt;&gt;"表示",0,IF($H85&gt;0,$H85,IFERROR($E85*$G85,0))))</f>
        <v/>
      </c>
      <c r="J85" s="3" t="n">
        <v>1</v>
      </c>
      <c r="K85" s="11" t="inlineStr">
        <is>
          <t>式</t>
        </is>
      </c>
      <c r="L85" s="3" t="n"/>
      <c r="M85" s="3" t="n">
        <v>2400</v>
      </c>
      <c r="N85" s="3">
        <f>IF($A85="","",IF($S85&lt;&gt;"表示",0,IF($M85&gt;0,$M85,IFERROR($J85*$L85,0))))</f>
        <v/>
      </c>
      <c r="O85" s="3">
        <f>IF($A85="","",$I85-$N85)</f>
        <v/>
      </c>
      <c r="P85" s="17">
        <f>IF($A85="","",IFERROR($O85/$I85,0))</f>
        <v/>
      </c>
      <c r="Q85" s="11" t="n"/>
      <c r="R85" s="11" t="n"/>
      <c r="S85" s="11" t="inlineStr">
        <is>
          <t>表示</t>
        </is>
      </c>
      <c r="T85" s="11" t="n"/>
      <c r="U85" s="11" t="n"/>
      <c r="V85" s="11" t="n"/>
      <c r="W85" s="11" t="n"/>
      <c r="X85" s="11" t="n"/>
      <c r="Y85" s="11" t="n"/>
      <c r="Z85" s="11" t="n"/>
    </row>
    <row r="86" ht="26.75" customHeight="1">
      <c r="A86" s="11" t="n">
        <v>85</v>
      </c>
      <c r="B86" s="11" t="inlineStr">
        <is>
          <t>トイレ</t>
        </is>
      </c>
      <c r="C86" s="11" t="inlineStr">
        <is>
          <t>施工</t>
        </is>
      </c>
      <c r="D86" s="11" t="inlineStr">
        <is>
          <t>巾木取替え</t>
        </is>
      </c>
      <c r="E86" s="3" t="n">
        <v>4.5</v>
      </c>
      <c r="F86" s="11" t="inlineStr">
        <is>
          <t>m</t>
        </is>
      </c>
      <c r="G86" s="3" t="n">
        <v>850</v>
      </c>
      <c r="H86" s="3" t="n"/>
      <c r="I86" s="3">
        <f>IF($A86="","",IF($S86&lt;&gt;"表示",0,IF($H86&gt;0,$H86,IFERROR($E86*$G86,0))))</f>
        <v/>
      </c>
      <c r="J86" s="3" t="n">
        <v>4.5</v>
      </c>
      <c r="K86" s="11" t="inlineStr">
        <is>
          <t>m</t>
        </is>
      </c>
      <c r="L86" s="3" t="n">
        <v>600</v>
      </c>
      <c r="M86" s="3" t="n"/>
      <c r="N86" s="3">
        <f>IF($A86="","",IF($S86&lt;&gt;"表示",0,IF($M86&gt;0,$M86,IFERROR($J86*$L86,0))))</f>
        <v/>
      </c>
      <c r="O86" s="3">
        <f>IF($A86="","",$I86-$N86)</f>
        <v/>
      </c>
      <c r="P86" s="17">
        <f>IF($A86="","",IFERROR($O86/$I86,0))</f>
        <v/>
      </c>
      <c r="Q86" s="11" t="n"/>
      <c r="R86" s="11" t="n"/>
      <c r="S86" s="11" t="inlineStr">
        <is>
          <t>表示</t>
        </is>
      </c>
      <c r="T86" s="11" t="n"/>
      <c r="U86" s="11" t="n"/>
      <c r="V86" s="11" t="n"/>
      <c r="W86" s="11" t="n"/>
      <c r="X86" s="11" t="n"/>
      <c r="Y86" s="11" t="n"/>
      <c r="Z86" s="11" t="n"/>
    </row>
    <row r="87" ht="26.75" customHeight="1">
      <c r="A87" s="11" t="n">
        <v>86</v>
      </c>
      <c r="B87" s="11" t="inlineStr">
        <is>
          <t>トイレ</t>
        </is>
      </c>
      <c r="C87" s="11" t="inlineStr">
        <is>
          <t>施工</t>
        </is>
      </c>
      <c r="D87" s="11" t="inlineStr">
        <is>
          <t>片開き戸取替え</t>
        </is>
      </c>
      <c r="E87" s="3" t="n">
        <v>1</v>
      </c>
      <c r="F87" s="11" t="inlineStr">
        <is>
          <t>式</t>
        </is>
      </c>
      <c r="G87" s="3" t="n"/>
      <c r="H87" s="3" t="n">
        <v>4200</v>
      </c>
      <c r="I87" s="3">
        <f>IF($A87="","",IF($S87&lt;&gt;"表示",0,IF($H87&gt;0,$H87,IFERROR($E87*$G87,0))))</f>
        <v/>
      </c>
      <c r="J87" s="3" t="n">
        <v>1</v>
      </c>
      <c r="K87" s="11" t="inlineStr">
        <is>
          <t>式</t>
        </is>
      </c>
      <c r="L87" s="3" t="n"/>
      <c r="M87" s="3" t="n">
        <v>3000</v>
      </c>
      <c r="N87" s="3">
        <f>IF($A87="","",IF($S87&lt;&gt;"表示",0,IF($M87&gt;0,$M87,IFERROR($J87*$L87,0))))</f>
        <v/>
      </c>
      <c r="O87" s="3">
        <f>IF($A87="","",$I87-$N87)</f>
        <v/>
      </c>
      <c r="P87" s="17">
        <f>IF($A87="","",IFERROR($O87/$I87,0))</f>
        <v/>
      </c>
      <c r="Q87" s="11" t="n"/>
      <c r="R87" s="11" t="inlineStr">
        <is>
          <t>建付調整</t>
        </is>
      </c>
      <c r="S87" s="11" t="inlineStr">
        <is>
          <t>表示</t>
        </is>
      </c>
      <c r="T87" s="11" t="n"/>
      <c r="U87" s="11" t="n"/>
      <c r="V87" s="11" t="n"/>
      <c r="W87" s="11" t="n"/>
      <c r="X87" s="11" t="n"/>
      <c r="Y87" s="11" t="n"/>
      <c r="Z87" s="11" t="n"/>
    </row>
    <row r="88" ht="26.75" customHeight="1">
      <c r="A88" s="11" t="n">
        <v>87</v>
      </c>
      <c r="B88" s="11" t="inlineStr">
        <is>
          <t>トイレ</t>
        </is>
      </c>
      <c r="C88" s="11" t="inlineStr">
        <is>
          <t>施工</t>
        </is>
      </c>
      <c r="D88" s="11" t="inlineStr">
        <is>
          <t>便器脱着工事</t>
        </is>
      </c>
      <c r="E88" s="3" t="n">
        <v>1</v>
      </c>
      <c r="F88" s="11" t="inlineStr">
        <is>
          <t>式</t>
        </is>
      </c>
      <c r="G88" s="3" t="n"/>
      <c r="H88" s="3" t="n">
        <v>42800</v>
      </c>
      <c r="I88" s="3">
        <f>IF($A88="","",IF($S88&lt;&gt;"表示",0,IF($H88&gt;0,$H88,IFERROR($E88*$G88,0))))</f>
        <v/>
      </c>
      <c r="J88" s="3" t="n">
        <v>1</v>
      </c>
      <c r="K88" s="11" t="inlineStr">
        <is>
          <t>式</t>
        </is>
      </c>
      <c r="L88" s="3" t="n"/>
      <c r="M88" s="3" t="n">
        <v>30000</v>
      </c>
      <c r="N88" s="3">
        <f>IF($A88="","",IF($S88&lt;&gt;"表示",0,IF($M88&gt;0,$M88,IFERROR($J88*$L88,0))))</f>
        <v/>
      </c>
      <c r="O88" s="3">
        <f>IF($A88="","",$I88-$N88)</f>
        <v/>
      </c>
      <c r="P88" s="17">
        <f>IF($A88="","",IFERROR($O88/$I88,0))</f>
        <v/>
      </c>
      <c r="Q88" s="11" t="n"/>
      <c r="R88" s="11" t="n"/>
      <c r="S88" s="11" t="inlineStr">
        <is>
          <t>表示</t>
        </is>
      </c>
      <c r="T88" s="11" t="n"/>
      <c r="U88" s="11" t="n"/>
      <c r="V88" s="11" t="n"/>
      <c r="W88" s="11" t="n"/>
      <c r="X88" s="11" t="n"/>
      <c r="Y88" s="11" t="n"/>
      <c r="Z88" s="11" t="n"/>
    </row>
    <row r="89" ht="26.75" customHeight="1">
      <c r="A89" s="11" t="n">
        <v>88</v>
      </c>
      <c r="B89" s="11" t="inlineStr">
        <is>
          <t>トイレ</t>
        </is>
      </c>
      <c r="C89" s="11" t="inlineStr">
        <is>
          <t>経費</t>
        </is>
      </c>
      <c r="D89" s="11" t="inlineStr">
        <is>
          <t>既存便器廃棄費</t>
        </is>
      </c>
      <c r="E89" s="3" t="n">
        <v>1</v>
      </c>
      <c r="F89" s="11" t="inlineStr">
        <is>
          <t>式</t>
        </is>
      </c>
      <c r="G89" s="3" t="n"/>
      <c r="H89" s="3" t="n">
        <v>4200</v>
      </c>
      <c r="I89" s="3">
        <f>IF($A89="","",IF($S89&lt;&gt;"表示",0,IF($H89&gt;0,$H89,IFERROR($E89*$G89,0))))</f>
        <v/>
      </c>
      <c r="J89" s="3" t="n">
        <v>1</v>
      </c>
      <c r="K89" s="11" t="inlineStr">
        <is>
          <t>式</t>
        </is>
      </c>
      <c r="L89" s="3" t="n"/>
      <c r="M89" s="3" t="n">
        <v>3000</v>
      </c>
      <c r="N89" s="3">
        <f>IF($A89="","",IF($S89&lt;&gt;"表示",0,IF($M89&gt;0,$M89,IFERROR($J89*$L89,0))))</f>
        <v/>
      </c>
      <c r="O89" s="3">
        <f>IF($A89="","",$I89-$N89)</f>
        <v/>
      </c>
      <c r="P89" s="17">
        <f>IF($A89="","",IFERROR($O89/$I89,0))</f>
        <v/>
      </c>
      <c r="Q89" s="11" t="n"/>
      <c r="R89" s="11" t="n"/>
      <c r="S89" s="11" t="inlineStr">
        <is>
          <t>表示</t>
        </is>
      </c>
      <c r="T89" s="11" t="n"/>
      <c r="U89" s="11" t="n"/>
      <c r="V89" s="11" t="n"/>
      <c r="W89" s="11" t="n"/>
      <c r="X89" s="11" t="n"/>
      <c r="Y89" s="11" t="n"/>
      <c r="Z89" s="11" t="n"/>
    </row>
    <row r="90" ht="26.75" customHeight="1">
      <c r="A90" s="11" t="n">
        <v>89</v>
      </c>
      <c r="B90" s="11" t="inlineStr">
        <is>
          <t>トイレ</t>
        </is>
      </c>
      <c r="C90" s="11" t="inlineStr">
        <is>
          <t>施工</t>
        </is>
      </c>
      <c r="D90" s="11" t="inlineStr">
        <is>
          <t>アクセサリー取付</t>
        </is>
      </c>
      <c r="E90" s="3" t="n">
        <v>2</v>
      </c>
      <c r="F90" s="11" t="inlineStr">
        <is>
          <t>ヶ所</t>
        </is>
      </c>
      <c r="G90" s="3" t="n">
        <v>1420</v>
      </c>
      <c r="H90" s="3" t="n"/>
      <c r="I90" s="3">
        <f>IF($A90="","",IF($S90&lt;&gt;"表示",0,IF($H90&gt;0,$H90,IFERROR($E90*$G90,0))))</f>
        <v/>
      </c>
      <c r="J90" s="3" t="n">
        <v>2</v>
      </c>
      <c r="K90" s="11" t="inlineStr">
        <is>
          <t>ヶ所</t>
        </is>
      </c>
      <c r="L90" s="3" t="n">
        <v>1000</v>
      </c>
      <c r="M90" s="3" t="n"/>
      <c r="N90" s="3">
        <f>IF($A90="","",IF($S90&lt;&gt;"表示",0,IF($M90&gt;0,$M90,IFERROR($J90*$L90,0))))</f>
        <v/>
      </c>
      <c r="O90" s="3">
        <f>IF($A90="","",$I90-$N90)</f>
        <v/>
      </c>
      <c r="P90" s="17">
        <f>IF($A90="","",IFERROR($O90/$I90,0))</f>
        <v/>
      </c>
      <c r="Q90" s="11" t="n"/>
      <c r="R90" s="11" t="n"/>
      <c r="S90" s="11" t="inlineStr">
        <is>
          <t>表示</t>
        </is>
      </c>
      <c r="T90" s="11" t="n"/>
      <c r="U90" s="11" t="n"/>
      <c r="V90" s="11" t="n"/>
      <c r="W90" s="11" t="n"/>
      <c r="X90" s="11" t="n"/>
      <c r="Y90" s="11" t="n"/>
      <c r="Z90" s="11" t="n"/>
    </row>
    <row r="91" ht="26.75" customHeight="1">
      <c r="A91" s="11" t="n">
        <v>90</v>
      </c>
      <c r="B91" s="11" t="inlineStr">
        <is>
          <t>トイレ</t>
        </is>
      </c>
      <c r="C91" s="11" t="inlineStr">
        <is>
          <t>施工</t>
        </is>
      </c>
      <c r="D91" s="11" t="inlineStr">
        <is>
          <t>床　クッションフロア貼替え</t>
        </is>
      </c>
      <c r="E91" s="3" t="n">
        <v>1</v>
      </c>
      <c r="F91" s="11" t="inlineStr">
        <is>
          <t>式</t>
        </is>
      </c>
      <c r="G91" s="3" t="n"/>
      <c r="H91" s="3" t="n">
        <v>11400</v>
      </c>
      <c r="I91" s="3">
        <f>IF($A91="","",IF($S91&lt;&gt;"表示",0,IF($H91&gt;0,$H91,IFERROR($E91*$G91,0))))</f>
        <v/>
      </c>
      <c r="J91" s="3" t="n">
        <v>1</v>
      </c>
      <c r="K91" s="11" t="inlineStr">
        <is>
          <t>式</t>
        </is>
      </c>
      <c r="L91" s="3" t="n"/>
      <c r="M91" s="3" t="n">
        <v>8000</v>
      </c>
      <c r="N91" s="3">
        <f>IF($A91="","",IF($S91&lt;&gt;"表示",0,IF($M91&gt;0,$M91,IFERROR($J91*$L91,0))))</f>
        <v/>
      </c>
      <c r="O91" s="3">
        <f>IF($A91="","",$I91-$N91)</f>
        <v/>
      </c>
      <c r="P91" s="17">
        <f>IF($A91="","",IFERROR($O91/$I91,0))</f>
        <v/>
      </c>
      <c r="Q91" s="11" t="inlineStr">
        <is>
          <t>材工共ザコトモ</t>
        </is>
      </c>
      <c r="R91" s="11" t="n"/>
      <c r="S91" s="11" t="inlineStr">
        <is>
          <t>表示</t>
        </is>
      </c>
      <c r="T91" s="11" t="n"/>
      <c r="U91" s="11" t="n"/>
      <c r="V91" s="11" t="n"/>
      <c r="W91" s="11" t="n"/>
      <c r="X91" s="11" t="n"/>
      <c r="Y91" s="11" t="n"/>
      <c r="Z91" s="11" t="n"/>
    </row>
    <row r="92" ht="26.75" customHeight="1">
      <c r="A92" s="11" t="n">
        <v>91</v>
      </c>
      <c r="B92" s="11" t="inlineStr">
        <is>
          <t>トイレ</t>
        </is>
      </c>
      <c r="C92" s="11" t="inlineStr">
        <is>
          <t>施工</t>
        </is>
      </c>
      <c r="D92" s="11" t="inlineStr">
        <is>
          <t>天井・壁　ビニールクロス貼替え</t>
        </is>
      </c>
      <c r="E92" s="3" t="n">
        <v>12</v>
      </c>
      <c r="F92" s="11" t="inlineStr">
        <is>
          <t>㎡</t>
        </is>
      </c>
      <c r="G92" s="3" t="n">
        <v>1140</v>
      </c>
      <c r="H92" s="3" t="n"/>
      <c r="I92" s="3">
        <f>IF($A92="","",IF($S92&lt;&gt;"表示",0,IF($H92&gt;0,$H92,IFERROR($E92*$G92,0))))</f>
        <v/>
      </c>
      <c r="J92" s="3" t="n">
        <v>12</v>
      </c>
      <c r="K92" s="11" t="inlineStr">
        <is>
          <t>㎡</t>
        </is>
      </c>
      <c r="L92" s="3" t="n">
        <v>650</v>
      </c>
      <c r="M92" s="3" t="n"/>
      <c r="N92" s="3">
        <f>IF($A92="","",IF($S92&lt;&gt;"表示",0,IF($M92&gt;0,$M92,IFERROR($J92*$L92,0))))</f>
        <v/>
      </c>
      <c r="O92" s="3">
        <f>IF($A92="","",$I92-$N92)</f>
        <v/>
      </c>
      <c r="P92" s="17">
        <f>IF($A92="","",IFERROR($O92/$I92,0))</f>
        <v/>
      </c>
      <c r="Q92" s="11" t="inlineStr">
        <is>
          <t>材工共ザコトモ</t>
        </is>
      </c>
      <c r="R92" s="11" t="inlineStr">
        <is>
          <t>量産品　SP</t>
        </is>
      </c>
      <c r="S92" s="11" t="inlineStr">
        <is>
          <t>表示</t>
        </is>
      </c>
      <c r="T92" s="11" t="n"/>
      <c r="U92" s="11" t="n"/>
      <c r="V92" s="11" t="n"/>
      <c r="W92" s="11" t="n"/>
      <c r="X92" s="11" t="n"/>
      <c r="Y92" s="11" t="n"/>
      <c r="Z92" s="11" t="n"/>
    </row>
    <row r="93" ht="26.75" customHeight="1">
      <c r="A93" s="11" t="n">
        <v>92</v>
      </c>
      <c r="B93" s="11" t="inlineStr">
        <is>
          <t>トイレ</t>
        </is>
      </c>
      <c r="C93" s="11" t="inlineStr">
        <is>
          <t>施工</t>
        </is>
      </c>
      <c r="D93" s="11" t="inlineStr">
        <is>
          <t>木枠塗装</t>
        </is>
      </c>
      <c r="E93" s="3" t="n">
        <v>1</v>
      </c>
      <c r="F93" s="11" t="inlineStr">
        <is>
          <t>式</t>
        </is>
      </c>
      <c r="G93" s="3" t="n"/>
      <c r="H93" s="3" t="n">
        <v>4200</v>
      </c>
      <c r="I93" s="3">
        <f>IF($A93="","",IF($S93&lt;&gt;"表示",0,IF($H93&gt;0,$H93,IFERROR($E93*$G93,0))))</f>
        <v/>
      </c>
      <c r="J93" s="3" t="n">
        <v>1</v>
      </c>
      <c r="K93" s="11" t="inlineStr">
        <is>
          <t>式</t>
        </is>
      </c>
      <c r="L93" s="3" t="n"/>
      <c r="M93" s="3" t="n">
        <v>3000</v>
      </c>
      <c r="N93" s="3">
        <f>IF($A93="","",IF($S93&lt;&gt;"表示",0,IF($M93&gt;0,$M93,IFERROR($J93*$L93,0))))</f>
        <v/>
      </c>
      <c r="O93" s="3">
        <f>IF($A93="","",$I93-$N93)</f>
        <v/>
      </c>
      <c r="P93" s="17">
        <f>IF($A93="","",IFERROR($O93/$I93,0))</f>
        <v/>
      </c>
      <c r="Q93" s="11" t="n"/>
      <c r="R93" s="11" t="n"/>
      <c r="S93" s="11" t="inlineStr">
        <is>
          <t>表示</t>
        </is>
      </c>
      <c r="T93" s="11" t="n"/>
      <c r="U93" s="11" t="n"/>
      <c r="V93" s="11" t="n"/>
      <c r="W93" s="11" t="n"/>
      <c r="X93" s="11" t="n"/>
      <c r="Y93" s="11" t="n"/>
      <c r="Z93" s="11" t="n"/>
    </row>
    <row r="94" ht="26.75" customHeight="1">
      <c r="A94" s="11" t="n">
        <v>93</v>
      </c>
      <c r="B94" s="11" t="inlineStr">
        <is>
          <t>トイレ</t>
        </is>
      </c>
      <c r="C94" s="11" t="inlineStr">
        <is>
          <t>施工</t>
        </is>
      </c>
      <c r="D94" s="11" t="inlineStr">
        <is>
          <t>プレート取替</t>
        </is>
      </c>
      <c r="E94" s="3" t="n">
        <v>2</v>
      </c>
      <c r="F94" s="11" t="inlineStr">
        <is>
          <t>セット</t>
        </is>
      </c>
      <c r="G94" s="3" t="n">
        <v>850</v>
      </c>
      <c r="H94" s="3" t="n"/>
      <c r="I94" s="3">
        <f>IF($A94="","",IF($S94&lt;&gt;"表示",0,IF($H94&gt;0,$H94,IFERROR($E94*$G94,0))))</f>
        <v/>
      </c>
      <c r="J94" s="3" t="n">
        <v>2</v>
      </c>
      <c r="K94" s="11" t="inlineStr">
        <is>
          <t>セット</t>
        </is>
      </c>
      <c r="L94" s="3" t="n">
        <v>600</v>
      </c>
      <c r="M94" s="3" t="n"/>
      <c r="N94" s="3">
        <f>IF($A94="","",IF($S94&lt;&gt;"表示",0,IF($M94&gt;0,$M94,IFERROR($J94*$L94,0))))</f>
        <v/>
      </c>
      <c r="O94" s="3">
        <f>IF($A94="","",$I94-$N94)</f>
        <v/>
      </c>
      <c r="P94" s="17">
        <f>IF($A94="","",IFERROR($O94/$I94,0))</f>
        <v/>
      </c>
      <c r="Q94" s="11" t="inlineStr">
        <is>
          <t>材工共ザコトモ</t>
        </is>
      </c>
      <c r="R94" s="11" t="n"/>
      <c r="S94" s="11" t="inlineStr">
        <is>
          <t>表示</t>
        </is>
      </c>
      <c r="T94" s="11" t="n"/>
      <c r="U94" s="11" t="n"/>
      <c r="V94" s="11" t="n"/>
      <c r="W94" s="11" t="n"/>
      <c r="X94" s="11" t="n"/>
      <c r="Y94" s="11" t="n"/>
      <c r="Z94" s="11" t="n"/>
    </row>
    <row r="95" ht="26.75" customHeight="1">
      <c r="A95" s="11" t="n">
        <v>94</v>
      </c>
      <c r="B95" s="11" t="inlineStr">
        <is>
          <t>1F　和室6帖</t>
        </is>
      </c>
      <c r="C95" s="11" t="inlineStr">
        <is>
          <t>材料</t>
        </is>
      </c>
      <c r="D95" s="11" t="inlineStr">
        <is>
          <t>天井板（木目柄化粧合板）</t>
        </is>
      </c>
      <c r="E95" s="3" t="n">
        <v>3</v>
      </c>
      <c r="F95" s="11" t="inlineStr">
        <is>
          <t>坪</t>
        </is>
      </c>
      <c r="G95" s="3" t="n">
        <v>5300</v>
      </c>
      <c r="H95" s="3" t="n"/>
      <c r="I95" s="3">
        <f>IF($A95="","",IF($S95&lt;&gt;"表示",0,IF($H95&gt;0,$H95,IFERROR($E95*$G95,0))))</f>
        <v/>
      </c>
      <c r="J95" s="3" t="n">
        <v>3</v>
      </c>
      <c r="K95" s="11" t="inlineStr">
        <is>
          <t>坪</t>
        </is>
      </c>
      <c r="L95" s="3" t="n">
        <v>4000</v>
      </c>
      <c r="M95" s="3" t="n"/>
      <c r="N95" s="3">
        <f>IF($A95="","",IF($S95&lt;&gt;"表示",0,IF($M95&gt;0,$M95,IFERROR($J95*$L95,0))))</f>
        <v/>
      </c>
      <c r="O95" s="3">
        <f>IF($A95="","",$I95-$N95)</f>
        <v/>
      </c>
      <c r="P95" s="17">
        <f>IF($A95="","",IFERROR($O95/$I95,0))</f>
        <v/>
      </c>
      <c r="Q95" s="11" t="n"/>
      <c r="R95" s="11" t="n"/>
      <c r="S95" s="11" t="inlineStr">
        <is>
          <t>表示</t>
        </is>
      </c>
      <c r="T95" s="11" t="n"/>
      <c r="U95" s="11" t="n"/>
      <c r="V95" s="11" t="n"/>
      <c r="W95" s="11" t="n"/>
      <c r="X95" s="11" t="n"/>
      <c r="Y95" s="11" t="n"/>
      <c r="Z95" s="11" t="n"/>
    </row>
    <row r="96" ht="26.75" customHeight="1">
      <c r="A96" s="11" t="n">
        <v>95</v>
      </c>
      <c r="B96" s="11" t="inlineStr">
        <is>
          <t>1F　和室6帖</t>
        </is>
      </c>
      <c r="C96" s="11" t="inlineStr">
        <is>
          <t>材料</t>
        </is>
      </c>
      <c r="D96" s="11" t="inlineStr">
        <is>
          <t>戸襖（ドアのみ）</t>
        </is>
      </c>
      <c r="E96" s="3" t="n">
        <v>1</v>
      </c>
      <c r="F96" s="11" t="inlineStr">
        <is>
          <t>枚</t>
        </is>
      </c>
      <c r="G96" s="3" t="n">
        <v>24000</v>
      </c>
      <c r="H96" s="3" t="n"/>
      <c r="I96" s="3">
        <f>IF($A96="","",IF($S96&lt;&gt;"表示",0,IF($H96&gt;0,$H96,IFERROR($E96*$G96,0))))</f>
        <v/>
      </c>
      <c r="J96" s="3" t="n">
        <v>1</v>
      </c>
      <c r="K96" s="11" t="inlineStr">
        <is>
          <t>枚</t>
        </is>
      </c>
      <c r="L96" s="3" t="n">
        <v>18000</v>
      </c>
      <c r="M96" s="3" t="n"/>
      <c r="N96" s="3">
        <f>IF($A96="","",IF($S96&lt;&gt;"表示",0,IF($M96&gt;0,$M96,IFERROR($J96*$L96,0))))</f>
        <v/>
      </c>
      <c r="O96" s="3">
        <f>IF($A96="","",$I96-$N96)</f>
        <v/>
      </c>
      <c r="P96" s="17">
        <f>IF($A96="","",IFERROR($O96/$I96,0))</f>
        <v/>
      </c>
      <c r="Q96" s="11" t="n"/>
      <c r="R96" s="11" t="inlineStr">
        <is>
          <t>別注　明かり窓付フラッシュ戸　金物含む</t>
        </is>
      </c>
      <c r="S96" s="11" t="inlineStr">
        <is>
          <t>表示</t>
        </is>
      </c>
      <c r="T96" s="11" t="n"/>
      <c r="U96" s="11" t="n"/>
      <c r="V96" s="11" t="n"/>
      <c r="W96" s="11" t="n"/>
      <c r="X96" s="11" t="n"/>
      <c r="Y96" s="11" t="n"/>
      <c r="Z96" s="11" t="n"/>
    </row>
    <row r="97" ht="26.75" customHeight="1">
      <c r="A97" s="11" t="n">
        <v>96</v>
      </c>
      <c r="B97" s="11" t="inlineStr">
        <is>
          <t>1F　和室6帖</t>
        </is>
      </c>
      <c r="C97" s="11" t="inlineStr">
        <is>
          <t>施工</t>
        </is>
      </c>
      <c r="D97" s="11" t="inlineStr">
        <is>
          <t>畳表替え</t>
        </is>
      </c>
      <c r="E97" s="3" t="n">
        <v>6</v>
      </c>
      <c r="F97" s="11" t="inlineStr">
        <is>
          <t>枚</t>
        </is>
      </c>
      <c r="G97" s="3" t="n">
        <v>5420</v>
      </c>
      <c r="H97" s="3" t="n"/>
      <c r="I97" s="3">
        <f>IF($A97="","",IF($S97&lt;&gt;"表示",0,IF($H97&gt;0,$H97,IFERROR($E97*$G97,0))))</f>
        <v/>
      </c>
      <c r="J97" s="3" t="n">
        <v>6</v>
      </c>
      <c r="K97" s="11" t="inlineStr">
        <is>
          <t>枚</t>
        </is>
      </c>
      <c r="L97" s="3" t="n">
        <v>3800</v>
      </c>
      <c r="M97" s="3" t="n"/>
      <c r="N97" s="3">
        <f>IF($A97="","",IF($S97&lt;&gt;"表示",0,IF($M97&gt;0,$M97,IFERROR($J97*$L97,0))))</f>
        <v/>
      </c>
      <c r="O97" s="3">
        <f>IF($A97="","",$I97-$N97)</f>
        <v/>
      </c>
      <c r="P97" s="17">
        <f>IF($A97="","",IFERROR($O97/$I97,0))</f>
        <v/>
      </c>
      <c r="Q97" s="11" t="n"/>
      <c r="R97" s="11" t="n"/>
      <c r="S97" s="11" t="inlineStr">
        <is>
          <t>表示</t>
        </is>
      </c>
      <c r="T97" s="11" t="n"/>
      <c r="U97" s="11" t="n"/>
      <c r="V97" s="11" t="n"/>
      <c r="W97" s="11" t="n"/>
      <c r="X97" s="11" t="n"/>
      <c r="Y97" s="11" t="n"/>
      <c r="Z97" s="11" t="n"/>
    </row>
    <row r="98" ht="26.75" customHeight="1">
      <c r="A98" s="11" t="n">
        <v>97</v>
      </c>
      <c r="B98" s="11" t="inlineStr">
        <is>
          <t>1F　和室6帖</t>
        </is>
      </c>
      <c r="C98" s="11" t="inlineStr">
        <is>
          <t>施工</t>
        </is>
      </c>
      <c r="D98" s="11" t="inlineStr">
        <is>
          <t>天井板取替え</t>
        </is>
      </c>
      <c r="E98" s="3" t="n">
        <v>10</v>
      </c>
      <c r="F98" s="11" t="inlineStr">
        <is>
          <t>㎡</t>
        </is>
      </c>
      <c r="G98" s="3" t="n">
        <v>2850</v>
      </c>
      <c r="H98" s="3" t="n"/>
      <c r="I98" s="3">
        <f>IF($A98="","",IF($S98&lt;&gt;"表示",0,IF($H98&gt;0,$H98,IFERROR($E98*$G98,0))))</f>
        <v/>
      </c>
      <c r="J98" s="3" t="n">
        <v>10</v>
      </c>
      <c r="K98" s="11" t="inlineStr">
        <is>
          <t>㎡</t>
        </is>
      </c>
      <c r="L98" s="3" t="n">
        <v>2000</v>
      </c>
      <c r="M98" s="3" t="n"/>
      <c r="N98" s="3">
        <f>IF($A98="","",IF($S98&lt;&gt;"表示",0,IF($M98&gt;0,$M98,IFERROR($J98*$L98,0))))</f>
        <v/>
      </c>
      <c r="O98" s="3">
        <f>IF($A98="","",$I98-$N98)</f>
        <v/>
      </c>
      <c r="P98" s="17">
        <f>IF($A98="","",IFERROR($O98/$I98,0))</f>
        <v/>
      </c>
      <c r="Q98" s="11" t="n"/>
      <c r="R98" s="11" t="inlineStr">
        <is>
          <t>建付調整</t>
        </is>
      </c>
      <c r="S98" s="11" t="inlineStr">
        <is>
          <t>表示</t>
        </is>
      </c>
      <c r="T98" s="11" t="n"/>
      <c r="U98" s="11" t="n"/>
      <c r="V98" s="11" t="n"/>
      <c r="W98" s="11" t="n"/>
      <c r="X98" s="11" t="n"/>
      <c r="Y98" s="11" t="n"/>
      <c r="Z98" s="11" t="n"/>
    </row>
    <row r="99" ht="26.75" customHeight="1">
      <c r="A99" s="11" t="n">
        <v>98</v>
      </c>
      <c r="B99" s="11" t="inlineStr">
        <is>
          <t>1F　和室6帖</t>
        </is>
      </c>
      <c r="C99" s="11" t="inlineStr">
        <is>
          <t>施工</t>
        </is>
      </c>
      <c r="D99" s="11" t="inlineStr">
        <is>
          <t>戸襖取替えト</t>
        </is>
      </c>
      <c r="E99" s="3" t="n">
        <v>1</v>
      </c>
      <c r="F99" s="11" t="inlineStr">
        <is>
          <t>式</t>
        </is>
      </c>
      <c r="G99" s="3" t="n"/>
      <c r="H99" s="3" t="n">
        <v>4200</v>
      </c>
      <c r="I99" s="3">
        <f>IF($A99="","",IF($S99&lt;&gt;"表示",0,IF($H99&gt;0,$H99,IFERROR($E99*$G99,0))))</f>
        <v/>
      </c>
      <c r="J99" s="3" t="n">
        <v>1</v>
      </c>
      <c r="K99" s="11" t="inlineStr">
        <is>
          <t>式</t>
        </is>
      </c>
      <c r="L99" s="3" t="n"/>
      <c r="M99" s="3" t="n">
        <v>3000</v>
      </c>
      <c r="N99" s="3">
        <f>IF($A99="","",IF($S99&lt;&gt;"表示",0,IF($M99&gt;0,$M99,IFERROR($J99*$L99,0))))</f>
        <v/>
      </c>
      <c r="O99" s="3">
        <f>IF($A99="","",$I99-$N99)</f>
        <v/>
      </c>
      <c r="P99" s="17">
        <f>IF($A99="","",IFERROR($O99/$I99,0))</f>
        <v/>
      </c>
      <c r="Q99" s="11" t="n"/>
      <c r="R99" s="11" t="n"/>
      <c r="S99" s="11" t="inlineStr">
        <is>
          <t>表示</t>
        </is>
      </c>
      <c r="T99" s="11" t="n"/>
      <c r="U99" s="11" t="n"/>
      <c r="V99" s="11" t="n"/>
      <c r="W99" s="11" t="n"/>
      <c r="X99" s="11" t="n"/>
      <c r="Y99" s="11" t="n"/>
      <c r="Z99" s="11" t="n"/>
    </row>
    <row r="100" ht="26.75" customHeight="1">
      <c r="A100" s="11" t="n">
        <v>99</v>
      </c>
      <c r="B100" s="11" t="inlineStr">
        <is>
          <t>1F　和室6帖</t>
        </is>
      </c>
      <c r="C100" s="11" t="inlineStr">
        <is>
          <t>施工</t>
        </is>
      </c>
      <c r="D100" s="11" t="inlineStr">
        <is>
          <t>襖貼替え　大</t>
        </is>
      </c>
      <c r="E100" s="3" t="n">
        <v>3</v>
      </c>
      <c r="F100" s="11" t="inlineStr">
        <is>
          <t>枚</t>
        </is>
      </c>
      <c r="G100" s="3" t="n">
        <v>2850</v>
      </c>
      <c r="H100" s="3" t="n"/>
      <c r="I100" s="3">
        <f>IF($A100="","",IF($S100&lt;&gt;"表示",0,IF($H100&gt;0,$H100,IFERROR($E100*$G100,0))))</f>
        <v/>
      </c>
      <c r="J100" s="3" t="n">
        <v>3</v>
      </c>
      <c r="K100" s="11" t="inlineStr">
        <is>
          <t>枚</t>
        </is>
      </c>
      <c r="L100" s="3" t="n">
        <v>2000</v>
      </c>
      <c r="M100" s="3" t="n"/>
      <c r="N100" s="3">
        <f>IF($A100="","",IF($S100&lt;&gt;"表示",0,IF($M100&gt;0,$M100,IFERROR($J100*$L100,0))))</f>
        <v/>
      </c>
      <c r="O100" s="3">
        <f>IF($A100="","",$I100-$N100)</f>
        <v/>
      </c>
      <c r="P100" s="17">
        <f>IF($A100="","",IFERROR($O100/$I100,0))</f>
        <v/>
      </c>
      <c r="Q100" s="11" t="n"/>
      <c r="R100" s="11" t="n"/>
      <c r="S100" s="11" t="inlineStr">
        <is>
          <t>表示</t>
        </is>
      </c>
      <c r="T100" s="11" t="n"/>
      <c r="U100" s="11" t="n"/>
      <c r="V100" s="11" t="n"/>
      <c r="W100" s="11" t="n"/>
      <c r="X100" s="11" t="n"/>
      <c r="Y100" s="11" t="n"/>
      <c r="Z100" s="11" t="n"/>
    </row>
    <row r="101" ht="26.75" customHeight="1">
      <c r="A101" s="11" t="n">
        <v>100</v>
      </c>
      <c r="B101" s="11" t="inlineStr">
        <is>
          <t>1F　和室6帖</t>
        </is>
      </c>
      <c r="C101" s="11" t="inlineStr">
        <is>
          <t>材料</t>
        </is>
      </c>
      <c r="D101" s="11" t="inlineStr">
        <is>
          <t>〃 小</t>
        </is>
      </c>
      <c r="E101" s="3" t="n">
        <v>2</v>
      </c>
      <c r="F101" s="11" t="inlineStr">
        <is>
          <t>枚</t>
        </is>
      </c>
      <c r="G101" s="3" t="n">
        <v>1710</v>
      </c>
      <c r="H101" s="3" t="n"/>
      <c r="I101" s="3">
        <f>IF($A101="","",IF($S101&lt;&gt;"表示",0,IF($H101&gt;0,$H101,IFERROR($E101*$G101,0))))</f>
        <v/>
      </c>
      <c r="J101" s="3" t="n">
        <v>2</v>
      </c>
      <c r="K101" s="11" t="inlineStr">
        <is>
          <t>枚</t>
        </is>
      </c>
      <c r="L101" s="3" t="n">
        <v>1200</v>
      </c>
      <c r="M101" s="3" t="n"/>
      <c r="N101" s="3">
        <f>IF($A101="","",IF($S101&lt;&gt;"表示",0,IF($M101&gt;0,$M101,IFERROR($J101*$L101,0))))</f>
        <v/>
      </c>
      <c r="O101" s="3">
        <f>IF($A101="","",$I101-$N101)</f>
        <v/>
      </c>
      <c r="P101" s="17">
        <f>IF($A101="","",IFERROR($O101/$I101,0))</f>
        <v/>
      </c>
      <c r="Q101" s="11" t="n"/>
      <c r="R101" s="11" t="n"/>
      <c r="S101" s="11" t="inlineStr">
        <is>
          <t>表示</t>
        </is>
      </c>
      <c r="T101" s="11" t="n"/>
      <c r="U101" s="11" t="n"/>
      <c r="V101" s="11" t="n"/>
      <c r="W101" s="11" t="n"/>
      <c r="X101" s="11" t="n"/>
      <c r="Y101" s="11" t="n"/>
      <c r="Z101" s="11" t="n"/>
    </row>
    <row r="102" ht="26.75" customHeight="1">
      <c r="A102" s="11" t="n">
        <v>101</v>
      </c>
      <c r="B102" s="11" t="inlineStr">
        <is>
          <t>1F　和室6帖</t>
        </is>
      </c>
      <c r="C102" s="11" t="inlineStr">
        <is>
          <t>施工</t>
        </is>
      </c>
      <c r="D102" s="11" t="inlineStr">
        <is>
          <t>ジュラク壁塗り替え</t>
        </is>
      </c>
      <c r="E102" s="3" t="n">
        <v>22</v>
      </c>
      <c r="F102" s="11" t="inlineStr">
        <is>
          <t>㎡</t>
        </is>
      </c>
      <c r="G102" s="3" t="n">
        <v>4000</v>
      </c>
      <c r="H102" s="3" t="n"/>
      <c r="I102" s="3">
        <f>IF($A102="","",IF($S102&lt;&gt;"表示",0,IF($H102&gt;0,$H102,IFERROR($E102*$G102,0))))</f>
        <v/>
      </c>
      <c r="J102" s="3" t="n">
        <v>22</v>
      </c>
      <c r="K102" s="11" t="inlineStr">
        <is>
          <t>㎡</t>
        </is>
      </c>
      <c r="L102" s="3" t="n">
        <v>2800</v>
      </c>
      <c r="M102" s="3" t="n"/>
      <c r="N102" s="3">
        <f>IF($A102="","",IF($S102&lt;&gt;"表示",0,IF($M102&gt;0,$M102,IFERROR($J102*$L102,0))))</f>
        <v/>
      </c>
      <c r="O102" s="3">
        <f>IF($A102="","",$I102-$N102)</f>
        <v/>
      </c>
      <c r="P102" s="17">
        <f>IF($A102="","",IFERROR($O102/$I102,0))</f>
        <v/>
      </c>
      <c r="Q102" s="11" t="inlineStr">
        <is>
          <t>材工共ザコトモ</t>
        </is>
      </c>
      <c r="R102" s="11" t="n"/>
      <c r="S102" s="11" t="inlineStr">
        <is>
          <t>表示</t>
        </is>
      </c>
      <c r="T102" s="11" t="n"/>
      <c r="U102" s="11" t="n"/>
      <c r="V102" s="11" t="n"/>
      <c r="W102" s="11" t="n"/>
      <c r="X102" s="11" t="n"/>
      <c r="Y102" s="11" t="n"/>
      <c r="Z102" s="11" t="n"/>
    </row>
    <row r="103" ht="26.75" customHeight="1">
      <c r="A103" s="11" t="n">
        <v>102</v>
      </c>
      <c r="B103" s="11" t="inlineStr">
        <is>
          <t>1F　和室6帖</t>
        </is>
      </c>
      <c r="C103" s="11" t="inlineStr">
        <is>
          <t>施工</t>
        </is>
      </c>
      <c r="D103" s="11" t="inlineStr">
        <is>
          <t>プレート取替</t>
        </is>
      </c>
      <c r="E103" s="3" t="n">
        <v>3</v>
      </c>
      <c r="F103" s="11" t="inlineStr">
        <is>
          <t>セット</t>
        </is>
      </c>
      <c r="G103" s="3" t="n">
        <v>850</v>
      </c>
      <c r="H103" s="3" t="n"/>
      <c r="I103" s="3">
        <f>IF($A103="","",IF($S103&lt;&gt;"表示",0,IF($H103&gt;0,$H103,IFERROR($E103*$G103,0))))</f>
        <v/>
      </c>
      <c r="J103" s="3" t="n">
        <v>3</v>
      </c>
      <c r="K103" s="11" t="inlineStr">
        <is>
          <t>セット</t>
        </is>
      </c>
      <c r="L103" s="3" t="n">
        <v>600</v>
      </c>
      <c r="M103" s="3" t="n"/>
      <c r="N103" s="3">
        <f>IF($A103="","",IF($S103&lt;&gt;"表示",0,IF($M103&gt;0,$M103,IFERROR($J103*$L103,0))))</f>
        <v/>
      </c>
      <c r="O103" s="3">
        <f>IF($A103="","",$I103-$N103)</f>
        <v/>
      </c>
      <c r="P103" s="17">
        <f>IF($A103="","",IFERROR($O103/$I103,0))</f>
        <v/>
      </c>
      <c r="Q103" s="11" t="inlineStr">
        <is>
          <t>材工共ザコトモ</t>
        </is>
      </c>
      <c r="R103" s="11" t="n"/>
      <c r="S103" s="11" t="inlineStr">
        <is>
          <t>表示</t>
        </is>
      </c>
      <c r="T103" s="11" t="n"/>
      <c r="U103" s="11" t="n"/>
      <c r="V103" s="11" t="n"/>
      <c r="W103" s="11" t="n"/>
      <c r="X103" s="11" t="n"/>
      <c r="Y103" s="11" t="n"/>
      <c r="Z103" s="11" t="n"/>
    </row>
    <row r="104" ht="26.75" customHeight="1">
      <c r="A104" s="11" t="n">
        <v>103</v>
      </c>
      <c r="B104" s="11" t="inlineStr">
        <is>
          <t>2F　和室　4.5帖</t>
        </is>
      </c>
      <c r="C104" s="11" t="inlineStr">
        <is>
          <t>材料</t>
        </is>
      </c>
      <c r="D104" s="11" t="inlineStr">
        <is>
          <t>天井板（木目柄化粧合板）</t>
        </is>
      </c>
      <c r="E104" s="3" t="n">
        <v>3</v>
      </c>
      <c r="F104" s="11" t="inlineStr">
        <is>
          <t>坪</t>
        </is>
      </c>
      <c r="G104" s="3" t="n">
        <v>5300</v>
      </c>
      <c r="H104" s="3" t="n"/>
      <c r="I104" s="3">
        <f>IF($A104="","",IF($S104&lt;&gt;"表示",0,IF($H104&gt;0,$H104,IFERROR($E104*$G104,0))))</f>
        <v/>
      </c>
      <c r="J104" s="3" t="n">
        <v>3</v>
      </c>
      <c r="K104" s="11" t="inlineStr">
        <is>
          <t>坪</t>
        </is>
      </c>
      <c r="L104" s="3" t="n">
        <v>4000</v>
      </c>
      <c r="M104" s="3" t="n"/>
      <c r="N104" s="3">
        <f>IF($A104="","",IF($S104&lt;&gt;"表示",0,IF($M104&gt;0,$M104,IFERROR($J104*$L104,0))))</f>
        <v/>
      </c>
      <c r="O104" s="3">
        <f>IF($A104="","",$I104-$N104)</f>
        <v/>
      </c>
      <c r="P104" s="17">
        <f>IF($A104="","",IFERROR($O104/$I104,0))</f>
        <v/>
      </c>
      <c r="Q104" s="11" t="n"/>
      <c r="R104" s="11" t="inlineStr">
        <is>
          <t>普及品</t>
        </is>
      </c>
      <c r="S104" s="11" t="inlineStr">
        <is>
          <t>表示</t>
        </is>
      </c>
      <c r="T104" s="11" t="n"/>
      <c r="U104" s="11" t="n"/>
      <c r="V104" s="11" t="n"/>
      <c r="W104" s="11" t="n"/>
      <c r="X104" s="11" t="n"/>
      <c r="Y104" s="11" t="n"/>
      <c r="Z104" s="11" t="n"/>
    </row>
    <row r="105" ht="26.75" customHeight="1">
      <c r="A105" s="11" t="n">
        <v>104</v>
      </c>
      <c r="B105" s="11" t="inlineStr">
        <is>
          <t>2F　和室　4.5帖</t>
        </is>
      </c>
      <c r="C105" s="11" t="inlineStr">
        <is>
          <t>材料</t>
        </is>
      </c>
      <c r="D105" s="11" t="inlineStr">
        <is>
          <t>戸襖（ドアのみ）</t>
        </is>
      </c>
      <c r="E105" s="3" t="n">
        <v>1</v>
      </c>
      <c r="F105" s="11" t="inlineStr">
        <is>
          <t>枚</t>
        </is>
      </c>
      <c r="G105" s="3" t="n">
        <v>24000</v>
      </c>
      <c r="H105" s="3" t="n"/>
      <c r="I105" s="3">
        <f>IF($A105="","",IF($S105&lt;&gt;"表示",0,IF($H105&gt;0,$H105,IFERROR($E105*$G105,0))))</f>
        <v/>
      </c>
      <c r="J105" s="3" t="n">
        <v>1</v>
      </c>
      <c r="K105" s="11" t="inlineStr">
        <is>
          <t>枚</t>
        </is>
      </c>
      <c r="L105" s="3" t="n">
        <v>18000</v>
      </c>
      <c r="M105" s="3" t="n"/>
      <c r="N105" s="3">
        <f>IF($A105="","",IF($S105&lt;&gt;"表示",0,IF($M105&gt;0,$M105,IFERROR($J105*$L105,0))))</f>
        <v/>
      </c>
      <c r="O105" s="3">
        <f>IF($A105="","",$I105-$N105)</f>
        <v/>
      </c>
      <c r="P105" s="17">
        <f>IF($A105="","",IFERROR($O105/$I105,0))</f>
        <v/>
      </c>
      <c r="Q105" s="11" t="n"/>
      <c r="R105" s="11" t="inlineStr">
        <is>
          <t>別注　片面プリント貼り　片面襖貼りベ</t>
        </is>
      </c>
      <c r="S105" s="11" t="inlineStr">
        <is>
          <t>表示</t>
        </is>
      </c>
      <c r="T105" s="11" t="n"/>
      <c r="U105" s="11" t="n"/>
      <c r="V105" s="11" t="n"/>
      <c r="W105" s="11" t="n"/>
      <c r="X105" s="11" t="n"/>
      <c r="Y105" s="11" t="n"/>
      <c r="Z105" s="11" t="n"/>
    </row>
    <row r="106" ht="26.75" customHeight="1">
      <c r="A106" s="11" t="n">
        <v>105</v>
      </c>
      <c r="B106" s="11" t="inlineStr">
        <is>
          <t>2F　和室　4.5帖</t>
        </is>
      </c>
      <c r="C106" s="11" t="inlineStr">
        <is>
          <t>施工</t>
        </is>
      </c>
      <c r="D106" s="11" t="inlineStr">
        <is>
          <t>畳表替え　一畳</t>
        </is>
      </c>
      <c r="E106" s="3" t="n">
        <v>4</v>
      </c>
      <c r="F106" s="11" t="inlineStr">
        <is>
          <t>枚</t>
        </is>
      </c>
      <c r="G106" s="3" t="n">
        <v>5420</v>
      </c>
      <c r="H106" s="3" t="n"/>
      <c r="I106" s="3">
        <f>IF($A106="","",IF($S106&lt;&gt;"表示",0,IF($H106&gt;0,$H106,IFERROR($E106*$G106,0))))</f>
        <v/>
      </c>
      <c r="J106" s="3" t="n">
        <v>4</v>
      </c>
      <c r="K106" s="11" t="inlineStr">
        <is>
          <t>枚</t>
        </is>
      </c>
      <c r="L106" s="3" t="n">
        <v>3800</v>
      </c>
      <c r="M106" s="3" t="n"/>
      <c r="N106" s="3">
        <f>IF($A106="","",IF($S106&lt;&gt;"表示",0,IF($M106&gt;0,$M106,IFERROR($J106*$L106,0))))</f>
        <v/>
      </c>
      <c r="O106" s="3">
        <f>IF($A106="","",$I106-$N106)</f>
        <v/>
      </c>
      <c r="P106" s="17">
        <f>IF($A106="","",IFERROR($O106/$I106,0))</f>
        <v/>
      </c>
      <c r="Q106" s="11" t="inlineStr">
        <is>
          <t>材工共ザコトモ</t>
        </is>
      </c>
      <c r="R106" s="11" t="n"/>
      <c r="S106" s="11" t="inlineStr">
        <is>
          <t>表示</t>
        </is>
      </c>
      <c r="T106" s="11" t="n"/>
      <c r="U106" s="11" t="n"/>
      <c r="V106" s="11" t="n"/>
      <c r="W106" s="11" t="n"/>
      <c r="X106" s="11" t="n"/>
      <c r="Y106" s="11" t="n"/>
      <c r="Z106" s="11" t="n"/>
    </row>
    <row r="107" ht="26.75" customHeight="1">
      <c r="A107" s="11" t="n">
        <v>106</v>
      </c>
      <c r="B107" s="11" t="inlineStr">
        <is>
          <t>2F　和室　4.5帖</t>
        </is>
      </c>
      <c r="C107" s="11" t="inlineStr">
        <is>
          <t>材料</t>
        </is>
      </c>
      <c r="D107" s="11" t="inlineStr">
        <is>
          <t>〃 半畳</t>
        </is>
      </c>
      <c r="E107" s="3" t="n">
        <v>1</v>
      </c>
      <c r="F107" s="11" t="inlineStr">
        <is>
          <t>枚</t>
        </is>
      </c>
      <c r="G107" s="3" t="n">
        <v>3420</v>
      </c>
      <c r="H107" s="3" t="n"/>
      <c r="I107" s="3">
        <f>IF($A107="","",IF($S107&lt;&gt;"表示",0,IF($H107&gt;0,$H107,IFERROR($E107*$G107,0))))</f>
        <v/>
      </c>
      <c r="J107" s="3" t="n">
        <v>1</v>
      </c>
      <c r="K107" s="11" t="inlineStr">
        <is>
          <t>枚</t>
        </is>
      </c>
      <c r="L107" s="3" t="n">
        <v>2400</v>
      </c>
      <c r="M107" s="3" t="n"/>
      <c r="N107" s="3">
        <f>IF($A107="","",IF($S107&lt;&gt;"表示",0,IF($M107&gt;0,$M107,IFERROR($J107*$L107,0))))</f>
        <v/>
      </c>
      <c r="O107" s="3">
        <f>IF($A107="","",$I107-$N107)</f>
        <v/>
      </c>
      <c r="P107" s="17">
        <f>IF($A107="","",IFERROR($O107/$I107,0))</f>
        <v/>
      </c>
      <c r="Q107" s="11" t="n"/>
      <c r="R107" s="11" t="n"/>
      <c r="S107" s="11" t="inlineStr">
        <is>
          <t>表示</t>
        </is>
      </c>
      <c r="T107" s="11" t="n"/>
      <c r="U107" s="11" t="n"/>
      <c r="V107" s="11" t="n"/>
      <c r="W107" s="11" t="n"/>
      <c r="X107" s="11" t="n"/>
      <c r="Y107" s="11" t="n"/>
      <c r="Z107" s="11" t="n"/>
    </row>
    <row r="108" ht="26.75" customHeight="1">
      <c r="A108" s="11" t="n">
        <v>107</v>
      </c>
      <c r="B108" s="11" t="inlineStr">
        <is>
          <t>2F　和室　4.5帖</t>
        </is>
      </c>
      <c r="C108" s="11" t="inlineStr">
        <is>
          <t>施工</t>
        </is>
      </c>
      <c r="D108" s="11" t="inlineStr">
        <is>
          <t>天井板取替え</t>
        </is>
      </c>
      <c r="E108" s="3" t="n">
        <v>10</v>
      </c>
      <c r="F108" s="11" t="inlineStr">
        <is>
          <t>㎡</t>
        </is>
      </c>
      <c r="G108" s="3" t="n">
        <v>2850</v>
      </c>
      <c r="H108" s="3" t="n"/>
      <c r="I108" s="3">
        <f>IF($A108="","",IF($S108&lt;&gt;"表示",0,IF($H108&gt;0,$H108,IFERROR($E108*$G108,0))))</f>
        <v/>
      </c>
      <c r="J108" s="3" t="n">
        <v>10</v>
      </c>
      <c r="K108" s="11" t="inlineStr">
        <is>
          <t>㎡</t>
        </is>
      </c>
      <c r="L108" s="3" t="n">
        <v>2000</v>
      </c>
      <c r="M108" s="3" t="n"/>
      <c r="N108" s="3">
        <f>IF($A108="","",IF($S108&lt;&gt;"表示",0,IF($M108&gt;0,$M108,IFERROR($J108*$L108,0))))</f>
        <v/>
      </c>
      <c r="O108" s="3">
        <f>IF($A108="","",$I108-$N108)</f>
        <v/>
      </c>
      <c r="P108" s="17">
        <f>IF($A108="","",IFERROR($O108/$I108,0))</f>
        <v/>
      </c>
      <c r="Q108" s="11" t="n"/>
      <c r="R108" s="11" t="n"/>
      <c r="S108" s="11" t="inlineStr">
        <is>
          <t>表示</t>
        </is>
      </c>
      <c r="T108" s="11" t="n"/>
      <c r="U108" s="11" t="n"/>
      <c r="V108" s="11" t="n"/>
      <c r="W108" s="11" t="n"/>
      <c r="X108" s="11" t="n"/>
      <c r="Y108" s="11" t="n"/>
      <c r="Z108" s="11" t="n"/>
    </row>
    <row r="109" ht="26.75" customHeight="1">
      <c r="A109" s="11" t="n">
        <v>108</v>
      </c>
      <c r="B109" s="11" t="inlineStr">
        <is>
          <t>2F　和室　4.5帖</t>
        </is>
      </c>
      <c r="C109" s="11" t="inlineStr">
        <is>
          <t>施工</t>
        </is>
      </c>
      <c r="D109" s="11" t="inlineStr">
        <is>
          <t>戸襖取替え</t>
        </is>
      </c>
      <c r="E109" s="3" t="n">
        <v>1</v>
      </c>
      <c r="F109" s="11" t="inlineStr">
        <is>
          <t>式</t>
        </is>
      </c>
      <c r="G109" s="3" t="n"/>
      <c r="H109" s="3" t="n">
        <v>4200</v>
      </c>
      <c r="I109" s="3">
        <f>IF($A109="","",IF($S109&lt;&gt;"表示",0,IF($H109&gt;0,$H109,IFERROR($E109*$G109,0))))</f>
        <v/>
      </c>
      <c r="J109" s="3" t="n">
        <v>1</v>
      </c>
      <c r="K109" s="11" t="inlineStr">
        <is>
          <t>式</t>
        </is>
      </c>
      <c r="L109" s="3" t="n"/>
      <c r="M109" s="3" t="n">
        <v>3000</v>
      </c>
      <c r="N109" s="3">
        <f>IF($A109="","",IF($S109&lt;&gt;"表示",0,IF($M109&gt;0,$M109,IFERROR($J109*$L109,0))))</f>
        <v/>
      </c>
      <c r="O109" s="3">
        <f>IF($A109="","",$I109-$N109)</f>
        <v/>
      </c>
      <c r="P109" s="17">
        <f>IF($A109="","",IFERROR($O109/$I109,0))</f>
        <v/>
      </c>
      <c r="Q109" s="11" t="n"/>
      <c r="R109" s="11" t="n"/>
      <c r="S109" s="11" t="inlineStr">
        <is>
          <t>表示</t>
        </is>
      </c>
      <c r="T109" s="11" t="n"/>
      <c r="U109" s="11" t="n"/>
      <c r="V109" s="11" t="n"/>
      <c r="W109" s="11" t="n"/>
      <c r="X109" s="11" t="n"/>
      <c r="Y109" s="11" t="n"/>
      <c r="Z109" s="11" t="n"/>
    </row>
    <row r="110" ht="26.75" customHeight="1">
      <c r="A110" s="11" t="n">
        <v>109</v>
      </c>
      <c r="B110" s="11" t="inlineStr">
        <is>
          <t>2F　和室　4.5帖</t>
        </is>
      </c>
      <c r="C110" s="11" t="inlineStr">
        <is>
          <t>施工</t>
        </is>
      </c>
      <c r="D110" s="11" t="inlineStr">
        <is>
          <t>襖貼替え　大</t>
        </is>
      </c>
      <c r="E110" s="3" t="n">
        <v>3</v>
      </c>
      <c r="F110" s="11" t="inlineStr">
        <is>
          <t>枚</t>
        </is>
      </c>
      <c r="G110" s="3" t="n">
        <v>2850</v>
      </c>
      <c r="H110" s="3" t="n"/>
      <c r="I110" s="3">
        <f>IF($A110="","",IF($S110&lt;&gt;"表示",0,IF($H110&gt;0,$H110,IFERROR($E110*$G110,0))))</f>
        <v/>
      </c>
      <c r="J110" s="3" t="n">
        <v>3</v>
      </c>
      <c r="K110" s="11" t="inlineStr">
        <is>
          <t>枚</t>
        </is>
      </c>
      <c r="L110" s="3" t="n">
        <v>2000</v>
      </c>
      <c r="M110" s="3" t="n"/>
      <c r="N110" s="3">
        <f>IF($A110="","",IF($S110&lt;&gt;"表示",0,IF($M110&gt;0,$M110,IFERROR($J110*$L110,0))))</f>
        <v/>
      </c>
      <c r="O110" s="3">
        <f>IF($A110="","",$I110-$N110)</f>
        <v/>
      </c>
      <c r="P110" s="17">
        <f>IF($A110="","",IFERROR($O110/$I110,0))</f>
        <v/>
      </c>
      <c r="Q110" s="11" t="inlineStr">
        <is>
          <t>材工共ザコトモ</t>
        </is>
      </c>
      <c r="R110" s="11" t="inlineStr">
        <is>
          <t>山水・カクベイクラス　同等品</t>
        </is>
      </c>
      <c r="S110" s="11" t="inlineStr">
        <is>
          <t>表示</t>
        </is>
      </c>
      <c r="T110" s="11" t="n"/>
      <c r="U110" s="11" t="n"/>
      <c r="V110" s="11" t="n"/>
      <c r="W110" s="11" t="n"/>
      <c r="X110" s="11" t="n"/>
      <c r="Y110" s="11" t="n"/>
      <c r="Z110" s="11" t="n"/>
    </row>
    <row r="111" ht="26.75" customHeight="1">
      <c r="A111" s="11" t="n">
        <v>110</v>
      </c>
      <c r="B111" s="11" t="inlineStr">
        <is>
          <t>2F　和室　4.5帖</t>
        </is>
      </c>
      <c r="C111" s="11" t="inlineStr">
        <is>
          <t>施工</t>
        </is>
      </c>
      <c r="D111" s="11" t="inlineStr">
        <is>
          <t>〃 小</t>
        </is>
      </c>
      <c r="E111" s="3" t="n">
        <v>2</v>
      </c>
      <c r="F111" s="11" t="inlineStr">
        <is>
          <t>枚</t>
        </is>
      </c>
      <c r="G111" s="3" t="n">
        <v>1710</v>
      </c>
      <c r="H111" s="3" t="n"/>
      <c r="I111" s="3">
        <f>IF($A111="","",IF($S111&lt;&gt;"表示",0,IF($H111&gt;0,$H111,IFERROR($E111*$G111,0))))</f>
        <v/>
      </c>
      <c r="J111" s="3" t="n">
        <v>2</v>
      </c>
      <c r="K111" s="11" t="inlineStr">
        <is>
          <t>枚</t>
        </is>
      </c>
      <c r="L111" s="3" t="n">
        <v>1200</v>
      </c>
      <c r="M111" s="3" t="n"/>
      <c r="N111" s="3">
        <f>IF($A111="","",IF($S111&lt;&gt;"表示",0,IF($M111&gt;0,$M111,IFERROR($J111*$L111,0))))</f>
        <v/>
      </c>
      <c r="O111" s="3">
        <f>IF($A111="","",$I111-$N111)</f>
        <v/>
      </c>
      <c r="P111" s="17">
        <f>IF($A111="","",IFERROR($O111/$I111,0))</f>
        <v/>
      </c>
      <c r="Q111" s="11" t="inlineStr">
        <is>
          <t>材工共ザコトモ</t>
        </is>
      </c>
      <c r="R111" s="11" t="inlineStr">
        <is>
          <t>〃</t>
        </is>
      </c>
      <c r="S111" s="11" t="inlineStr">
        <is>
          <t>表示</t>
        </is>
      </c>
      <c r="T111" s="11" t="n"/>
      <c r="U111" s="11" t="n"/>
      <c r="V111" s="11" t="n"/>
      <c r="W111" s="11" t="n"/>
      <c r="X111" s="11" t="n"/>
      <c r="Y111" s="11" t="n"/>
      <c r="Z111" s="11" t="n"/>
    </row>
    <row r="112" ht="26.75" customHeight="1">
      <c r="A112" s="11" t="n">
        <v>111</v>
      </c>
      <c r="B112" s="11" t="inlineStr">
        <is>
          <t>2F　和室　4.5帖</t>
        </is>
      </c>
      <c r="C112" s="11" t="inlineStr">
        <is>
          <t>施工</t>
        </is>
      </c>
      <c r="D112" s="11" t="inlineStr">
        <is>
          <t>ジュラク壁塗替え</t>
        </is>
      </c>
      <c r="E112" s="3" t="n">
        <v>17</v>
      </c>
      <c r="F112" s="11" t="inlineStr">
        <is>
          <t>㎡</t>
        </is>
      </c>
      <c r="G112" s="3" t="n">
        <v>4000</v>
      </c>
      <c r="H112" s="3" t="n"/>
      <c r="I112" s="3">
        <f>IF($A112="","",IF($S112&lt;&gt;"表示",0,IF($H112&gt;0,$H112,IFERROR($E112*$G112,0))))</f>
        <v/>
      </c>
      <c r="J112" s="3" t="n">
        <v>17</v>
      </c>
      <c r="K112" s="11" t="inlineStr">
        <is>
          <t>㎡</t>
        </is>
      </c>
      <c r="L112" s="3" t="n">
        <v>2800</v>
      </c>
      <c r="M112" s="3" t="n"/>
      <c r="N112" s="3">
        <f>IF($A112="","",IF($S112&lt;&gt;"表示",0,IF($M112&gt;0,$M112,IFERROR($J112*$L112,0))))</f>
        <v/>
      </c>
      <c r="O112" s="3">
        <f>IF($A112="","",$I112-$N112)</f>
        <v/>
      </c>
      <c r="P112" s="17">
        <f>IF($A112="","",IFERROR($O112/$I112,0))</f>
        <v/>
      </c>
      <c r="Q112" s="11" t="inlineStr">
        <is>
          <t>材工共ザコトモ</t>
        </is>
      </c>
      <c r="R112" s="11" t="inlineStr">
        <is>
          <t>下地処理含む</t>
        </is>
      </c>
      <c r="S112" s="11" t="inlineStr">
        <is>
          <t>表示</t>
        </is>
      </c>
      <c r="T112" s="11" t="n"/>
      <c r="U112" s="11" t="n"/>
      <c r="V112" s="11" t="n"/>
      <c r="W112" s="11" t="n"/>
      <c r="X112" s="11" t="n"/>
      <c r="Y112" s="11" t="n"/>
      <c r="Z112" s="11" t="n"/>
    </row>
    <row r="113" ht="26.75" customHeight="1">
      <c r="A113" s="11" t="n">
        <v>112</v>
      </c>
      <c r="B113" s="11" t="inlineStr">
        <is>
          <t>2F　和室　4.5帖</t>
        </is>
      </c>
      <c r="C113" s="11" t="inlineStr">
        <is>
          <t>施工</t>
        </is>
      </c>
      <c r="D113" s="11" t="inlineStr">
        <is>
          <t>プレート取替</t>
        </is>
      </c>
      <c r="E113" s="3" t="n">
        <v>3</v>
      </c>
      <c r="F113" s="11" t="inlineStr">
        <is>
          <t>セット</t>
        </is>
      </c>
      <c r="G113" s="3" t="n">
        <v>850</v>
      </c>
      <c r="H113" s="3" t="n"/>
      <c r="I113" s="3">
        <f>IF($A113="","",IF($S113&lt;&gt;"表示",0,IF($H113&gt;0,$H113,IFERROR($E113*$G113,0))))</f>
        <v/>
      </c>
      <c r="J113" s="3" t="n">
        <v>3</v>
      </c>
      <c r="K113" s="11" t="inlineStr">
        <is>
          <t>セット</t>
        </is>
      </c>
      <c r="L113" s="3" t="n">
        <v>600</v>
      </c>
      <c r="M113" s="3" t="n"/>
      <c r="N113" s="3">
        <f>IF($A113="","",IF($S113&lt;&gt;"表示",0,IF($M113&gt;0,$M113,IFERROR($J113*$L113,0))))</f>
        <v/>
      </c>
      <c r="O113" s="3">
        <f>IF($A113="","",$I113-$N113)</f>
        <v/>
      </c>
      <c r="P113" s="17">
        <f>IF($A113="","",IFERROR($O113/$I113,0))</f>
        <v/>
      </c>
      <c r="Q113" s="11" t="inlineStr">
        <is>
          <t>材工共ザコトモ</t>
        </is>
      </c>
      <c r="R113" s="11" t="n"/>
      <c r="S113" s="11" t="inlineStr">
        <is>
          <t>表示</t>
        </is>
      </c>
      <c r="T113" s="11" t="n"/>
      <c r="U113" s="11" t="n"/>
      <c r="V113" s="11" t="n"/>
      <c r="W113" s="11" t="n"/>
      <c r="X113" s="11" t="n"/>
      <c r="Y113" s="11" t="n"/>
      <c r="Z113" s="11" t="n"/>
    </row>
    <row r="114" ht="26.75" customHeight="1">
      <c r="A114" s="11" t="n">
        <v>113</v>
      </c>
      <c r="B114" s="11" t="inlineStr">
        <is>
          <t>2F　洋間8帖　A</t>
        </is>
      </c>
      <c r="C114" s="11" t="inlineStr">
        <is>
          <t>材料</t>
        </is>
      </c>
      <c r="D114" s="11" t="inlineStr">
        <is>
          <t>床　フローリング</t>
        </is>
      </c>
      <c r="E114" s="3" t="n">
        <v>4</v>
      </c>
      <c r="F114" s="11" t="inlineStr">
        <is>
          <t>梱</t>
        </is>
      </c>
      <c r="G114" s="3" t="n">
        <v>8000</v>
      </c>
      <c r="H114" s="3" t="n"/>
      <c r="I114" s="3">
        <f>IF($A114="","",IF($S114&lt;&gt;"表示",0,IF($H114&gt;0,$H114,IFERROR($E114*$G114,0))))</f>
        <v/>
      </c>
      <c r="J114" s="3" t="n">
        <v>4</v>
      </c>
      <c r="K114" s="11" t="inlineStr">
        <is>
          <t>梱</t>
        </is>
      </c>
      <c r="L114" s="3" t="n">
        <v>4550</v>
      </c>
      <c r="M114" s="3" t="n"/>
      <c r="N114" s="3">
        <f>IF($A114="","",IF($S114&lt;&gt;"表示",0,IF($M114&gt;0,$M114,IFERROR($J114*$L114,0))))</f>
        <v/>
      </c>
      <c r="O114" s="3">
        <f>IF($A114="","",$I114-$N114)</f>
        <v/>
      </c>
      <c r="P114" s="17">
        <f>IF($A114="","",IFERROR($O114/$I114,0))</f>
        <v/>
      </c>
      <c r="Q114" s="11" t="inlineStr">
        <is>
          <t>定価13,000円/梱（3.3㎡）×35％</t>
        </is>
      </c>
      <c r="R114" s="11" t="inlineStr">
        <is>
          <t>ノダ　ウォークフィット6　6.3㎜厚</t>
        </is>
      </c>
      <c r="S114" s="11" t="inlineStr">
        <is>
          <t>表示</t>
        </is>
      </c>
      <c r="T114" s="11" t="n"/>
      <c r="U114" s="11" t="n"/>
      <c r="V114" s="11" t="n"/>
      <c r="W114" s="11" t="n"/>
      <c r="X114" s="11" t="n"/>
      <c r="Y114" s="11" t="n"/>
      <c r="Z114" s="11" t="n"/>
    </row>
    <row r="115" ht="26.75" customHeight="1">
      <c r="A115" s="11" t="n">
        <v>114</v>
      </c>
      <c r="B115" s="11" t="inlineStr">
        <is>
          <t>2F　洋間8帖　A</t>
        </is>
      </c>
      <c r="C115" s="11" t="inlineStr">
        <is>
          <t>材料</t>
        </is>
      </c>
      <c r="D115" s="11" t="inlineStr">
        <is>
          <t>巾木</t>
        </is>
      </c>
      <c r="E115" s="3" t="n">
        <v>4</v>
      </c>
      <c r="F115" s="11" t="inlineStr">
        <is>
          <t>本</t>
        </is>
      </c>
      <c r="G115" s="3" t="n">
        <v>900</v>
      </c>
      <c r="H115" s="3" t="n"/>
      <c r="I115" s="3">
        <f>IF($A115="","",IF($S115&lt;&gt;"表示",0,IF($H115&gt;0,$H115,IFERROR($E115*$G115,0))))</f>
        <v/>
      </c>
      <c r="J115" s="3" t="n">
        <v>4</v>
      </c>
      <c r="K115" s="11" t="inlineStr">
        <is>
          <t>本</t>
        </is>
      </c>
      <c r="L115" s="3" t="n">
        <v>735</v>
      </c>
      <c r="M115" s="3" t="n"/>
      <c r="N115" s="3">
        <f>IF($A115="","",IF($S115&lt;&gt;"表示",0,IF($M115&gt;0,$M115,IFERROR($J115*$L115,0))))</f>
        <v/>
      </c>
      <c r="O115" s="3">
        <f>IF($A115="","",$I115-$N115)</f>
        <v/>
      </c>
      <c r="P115" s="17">
        <f>IF($A115="","",IFERROR($O115/$I115,0))</f>
        <v/>
      </c>
      <c r="Q115" s="11" t="inlineStr">
        <is>
          <t>定価2,100円/本×35％</t>
        </is>
      </c>
      <c r="R115" s="11" t="inlineStr">
        <is>
          <t>ノダ　巾木　7×60×3,950㎜（3本入）</t>
        </is>
      </c>
      <c r="S115" s="11" t="inlineStr">
        <is>
          <t>表示</t>
        </is>
      </c>
      <c r="T115" s="11" t="n"/>
      <c r="U115" s="11" t="n"/>
      <c r="V115" s="11" t="n"/>
      <c r="W115" s="11" t="n"/>
      <c r="X115" s="11" t="n"/>
      <c r="Y115" s="11" t="n"/>
      <c r="Z115" s="11" t="n"/>
    </row>
    <row r="116" ht="26.75" customHeight="1">
      <c r="A116" s="11" t="n">
        <v>115</v>
      </c>
      <c r="B116" s="11" t="inlineStr">
        <is>
          <t>2F　洋間8帖　A</t>
        </is>
      </c>
      <c r="C116" s="11" t="inlineStr">
        <is>
          <t>材料</t>
        </is>
      </c>
      <c r="D116" s="11" t="inlineStr">
        <is>
          <t>片開き戸（ドアのみ）</t>
        </is>
      </c>
      <c r="E116" s="3" t="n">
        <v>1</v>
      </c>
      <c r="F116" s="11" t="inlineStr">
        <is>
          <t>セット</t>
        </is>
      </c>
      <c r="G116" s="3" t="n">
        <v>24000</v>
      </c>
      <c r="H116" s="3" t="n"/>
      <c r="I116" s="3">
        <f>IF($A116="","",IF($S116&lt;&gt;"表示",0,IF($H116&gt;0,$H116,IFERROR($E116*$G116,0))))</f>
        <v/>
      </c>
      <c r="J116" s="3" t="n">
        <v>1</v>
      </c>
      <c r="K116" s="11" t="inlineStr">
        <is>
          <t>セット</t>
        </is>
      </c>
      <c r="L116" s="3" t="n">
        <v>18000</v>
      </c>
      <c r="M116" s="3" t="n"/>
      <c r="N116" s="3">
        <f>IF($A116="","",IF($S116&lt;&gt;"表示",0,IF($M116&gt;0,$M116,IFERROR($J116*$L116,0))))</f>
        <v/>
      </c>
      <c r="O116" s="3">
        <f>IF($A116="","",$I116-$N116)</f>
        <v/>
      </c>
      <c r="P116" s="17">
        <f>IF($A116="","",IFERROR($O116/$I116,0))</f>
        <v/>
      </c>
      <c r="Q116" s="11" t="n"/>
      <c r="R116" s="11" t="inlineStr">
        <is>
          <t>別注プリント貼り　フラッシュドア　金物含む</t>
        </is>
      </c>
      <c r="S116" s="11" t="inlineStr">
        <is>
          <t>表示</t>
        </is>
      </c>
      <c r="T116" s="11" t="n"/>
      <c r="U116" s="11" t="n"/>
      <c r="V116" s="11" t="n"/>
      <c r="W116" s="11" t="n"/>
      <c r="X116" s="11" t="n"/>
      <c r="Y116" s="11" t="n"/>
      <c r="Z116" s="11" t="n"/>
    </row>
    <row r="117" ht="26.75" customHeight="1">
      <c r="A117" s="11" t="n">
        <v>116</v>
      </c>
      <c r="B117" s="11" t="inlineStr">
        <is>
          <t>2F　洋間8帖　A</t>
        </is>
      </c>
      <c r="C117" s="11" t="inlineStr">
        <is>
          <t>材料</t>
        </is>
      </c>
      <c r="D117" s="11" t="inlineStr">
        <is>
          <t>クローゼット折れ戸（枠セット）　W1間×8尺</t>
        </is>
      </c>
      <c r="E117" s="3" t="n">
        <v>1</v>
      </c>
      <c r="F117" s="11" t="inlineStr">
        <is>
          <t>セット</t>
        </is>
      </c>
      <c r="G117" s="3" t="n">
        <v>43400</v>
      </c>
      <c r="H117" s="3" t="n"/>
      <c r="I117" s="3">
        <f>IF($A117="","",IF($S117&lt;&gt;"表示",0,IF($H117&gt;0,$H117,IFERROR($E117*$G117,0))))</f>
        <v/>
      </c>
      <c r="J117" s="3" t="n">
        <v>1</v>
      </c>
      <c r="K117" s="11" t="inlineStr">
        <is>
          <t>セット</t>
        </is>
      </c>
      <c r="L117" s="3" t="n">
        <v>25280</v>
      </c>
      <c r="M117" s="3" t="n"/>
      <c r="N117" s="3">
        <f>IF($A117="","",IF($S117&lt;&gt;"表示",0,IF($M117&gt;0,$M117,IFERROR($J117*$L117,0))))</f>
        <v/>
      </c>
      <c r="O117" s="3">
        <f>IF($A117="","",$I117-$N117)</f>
        <v/>
      </c>
      <c r="P117" s="17">
        <f>IF($A117="","",IFERROR($O117/$I117,0))</f>
        <v/>
      </c>
      <c r="Q117" s="11" t="inlineStr">
        <is>
          <t>定価79,000円×32％</t>
        </is>
      </c>
      <c r="R117" s="11" t="inlineStr">
        <is>
          <t>リクシル　ウォールイン折れ戸　固定3方枠　ファミリーライン ド</t>
        </is>
      </c>
      <c r="S117" s="11" t="inlineStr">
        <is>
          <t>表示</t>
        </is>
      </c>
      <c r="T117" s="11" t="n"/>
      <c r="U117" s="11" t="n"/>
      <c r="V117" s="11" t="n"/>
      <c r="W117" s="11" t="n"/>
      <c r="X117" s="11" t="n"/>
      <c r="Y117" s="11" t="n"/>
      <c r="Z117" s="11" t="n"/>
    </row>
    <row r="118" ht="26.75" customHeight="1">
      <c r="A118" s="11" t="n">
        <v>117</v>
      </c>
      <c r="B118" s="11" t="inlineStr">
        <is>
          <t>2F　洋間8帖　A</t>
        </is>
      </c>
      <c r="C118" s="11" t="inlineStr">
        <is>
          <t>材料</t>
        </is>
      </c>
      <c r="D118" s="11" t="inlineStr">
        <is>
          <t>クローゼット折れ戸取付雑材</t>
        </is>
      </c>
      <c r="E118" s="3" t="n">
        <v>1</v>
      </c>
      <c r="F118" s="11" t="inlineStr">
        <is>
          <t>式</t>
        </is>
      </c>
      <c r="G118" s="3" t="n"/>
      <c r="H118" s="3" t="n">
        <v>4000</v>
      </c>
      <c r="I118" s="3">
        <f>IF($A118="","",IF($S118&lt;&gt;"表示",0,IF($H118&gt;0,$H118,IFERROR($E118*$G118,0))))</f>
        <v/>
      </c>
      <c r="J118" s="3" t="n">
        <v>1</v>
      </c>
      <c r="K118" s="11" t="inlineStr">
        <is>
          <t>式</t>
        </is>
      </c>
      <c r="L118" s="3" t="n"/>
      <c r="M118" s="3" t="n">
        <v>3000</v>
      </c>
      <c r="N118" s="3">
        <f>IF($A118="","",IF($S118&lt;&gt;"表示",0,IF($M118&gt;0,$M118,IFERROR($J118*$L118,0))))</f>
        <v/>
      </c>
      <c r="O118" s="3">
        <f>IF($A118="","",$I118-$N118)</f>
        <v/>
      </c>
      <c r="P118" s="17">
        <f>IF($A118="","",IFERROR($O118/$I118,0))</f>
        <v/>
      </c>
      <c r="Q118" s="11" t="n"/>
      <c r="R118" s="11" t="n"/>
      <c r="S118" s="11" t="inlineStr">
        <is>
          <t>表示</t>
        </is>
      </c>
      <c r="T118" s="11" t="n"/>
      <c r="U118" s="11" t="n"/>
      <c r="V118" s="11" t="n"/>
      <c r="W118" s="11" t="n"/>
      <c r="X118" s="11" t="n"/>
      <c r="Y118" s="11" t="n"/>
      <c r="Z118" s="11" t="n"/>
    </row>
    <row r="119" ht="26.75" customHeight="1">
      <c r="A119" s="11" t="n">
        <v>118</v>
      </c>
      <c r="B119" s="11" t="inlineStr">
        <is>
          <t>2F　洋間8帖　A</t>
        </is>
      </c>
      <c r="C119" s="11" t="inlineStr">
        <is>
          <t>材料</t>
        </is>
      </c>
      <c r="D119" s="11" t="inlineStr">
        <is>
          <t>木枠塗装剤</t>
        </is>
      </c>
      <c r="E119" s="3" t="n">
        <v>1</v>
      </c>
      <c r="F119" s="11" t="inlineStr">
        <is>
          <t>式</t>
        </is>
      </c>
      <c r="G119" s="3" t="n"/>
      <c r="H119" s="3" t="n">
        <v>4000</v>
      </c>
      <c r="I119" s="3">
        <f>IF($A119="","",IF($S119&lt;&gt;"表示",0,IF($H119&gt;0,$H119,IFERROR($E119*$G119,0))))</f>
        <v/>
      </c>
      <c r="J119" s="3" t="n">
        <v>1</v>
      </c>
      <c r="K119" s="11" t="inlineStr">
        <is>
          <t>式</t>
        </is>
      </c>
      <c r="L119" s="3" t="n"/>
      <c r="M119" s="3" t="n">
        <v>3000</v>
      </c>
      <c r="N119" s="3">
        <f>IF($A119="","",IF($S119&lt;&gt;"表示",0,IF($M119&gt;0,$M119,IFERROR($J119*$L119,0))))</f>
        <v/>
      </c>
      <c r="O119" s="3">
        <f>IF($A119="","",$I119-$N119)</f>
        <v/>
      </c>
      <c r="P119" s="17">
        <f>IF($A119="","",IFERROR($O119/$I119,0))</f>
        <v/>
      </c>
      <c r="Q119" s="11" t="n"/>
      <c r="R119" s="11" t="n"/>
      <c r="S119" s="11" t="inlineStr">
        <is>
          <t>表示</t>
        </is>
      </c>
      <c r="T119" s="11" t="n"/>
      <c r="U119" s="11" t="n"/>
      <c r="V119" s="11" t="n"/>
      <c r="W119" s="11" t="n"/>
      <c r="X119" s="11" t="n"/>
      <c r="Y119" s="11" t="n"/>
      <c r="Z119" s="11" t="n"/>
    </row>
    <row r="120" ht="26.75" customHeight="1">
      <c r="A120" s="11" t="n">
        <v>119</v>
      </c>
      <c r="B120" s="11" t="inlineStr">
        <is>
          <t>2F　洋間8帖　A</t>
        </is>
      </c>
      <c r="C120" s="11" t="inlineStr">
        <is>
          <t>施工</t>
        </is>
      </c>
      <c r="D120" s="11" t="inlineStr">
        <is>
          <t>床　フローリング重ね貼り</t>
        </is>
      </c>
      <c r="E120" s="3" t="n">
        <v>21</v>
      </c>
      <c r="F120" s="11" t="inlineStr">
        <is>
          <t>㎡</t>
        </is>
      </c>
      <c r="G120" s="3" t="n">
        <v>2140</v>
      </c>
      <c r="H120" s="3" t="n"/>
      <c r="I120" s="3">
        <f>IF($A120="","",IF($S120&lt;&gt;"表示",0,IF($H120&gt;0,$H120,IFERROR($E120*$G120,0))))</f>
        <v/>
      </c>
      <c r="J120" s="3" t="n">
        <v>21</v>
      </c>
      <c r="K120" s="11" t="inlineStr">
        <is>
          <t>㎡</t>
        </is>
      </c>
      <c r="L120" s="3" t="n">
        <v>1500</v>
      </c>
      <c r="M120" s="3" t="n"/>
      <c r="N120" s="3">
        <f>IF($A120="","",IF($S120&lt;&gt;"表示",0,IF($M120&gt;0,$M120,IFERROR($J120*$L120,0))))</f>
        <v/>
      </c>
      <c r="O120" s="3">
        <f>IF($A120="","",$I120-$N120)</f>
        <v/>
      </c>
      <c r="P120" s="17">
        <f>IF($A120="","",IFERROR($O120/$I120,0))</f>
        <v/>
      </c>
      <c r="Q120" s="11" t="n"/>
      <c r="R120" s="11" t="n"/>
      <c r="S120" s="11" t="inlineStr">
        <is>
          <t>表示</t>
        </is>
      </c>
      <c r="T120" s="11" t="n"/>
      <c r="U120" s="11" t="n"/>
      <c r="V120" s="11" t="n"/>
      <c r="W120" s="11" t="n"/>
      <c r="X120" s="11" t="n"/>
      <c r="Y120" s="11" t="n"/>
      <c r="Z120" s="11" t="n"/>
    </row>
    <row r="121" ht="26.75" customHeight="1">
      <c r="A121" s="11" t="n">
        <v>120</v>
      </c>
      <c r="B121" s="11" t="inlineStr">
        <is>
          <t>2F　洋間8帖　A</t>
        </is>
      </c>
      <c r="C121" s="11" t="inlineStr">
        <is>
          <t>施工</t>
        </is>
      </c>
      <c r="D121" s="11" t="inlineStr">
        <is>
          <t>巾木取替え</t>
        </is>
      </c>
      <c r="E121" s="3" t="n">
        <v>14</v>
      </c>
      <c r="F121" s="11" t="inlineStr">
        <is>
          <t>m</t>
        </is>
      </c>
      <c r="G121" s="3" t="n">
        <v>850</v>
      </c>
      <c r="H121" s="3" t="n"/>
      <c r="I121" s="3">
        <f>IF($A121="","",IF($S121&lt;&gt;"表示",0,IF($H121&gt;0,$H121,IFERROR($E121*$G121,0))))</f>
        <v/>
      </c>
      <c r="J121" s="3" t="n">
        <v>14</v>
      </c>
      <c r="K121" s="11" t="inlineStr">
        <is>
          <t>m</t>
        </is>
      </c>
      <c r="L121" s="3" t="n">
        <v>600</v>
      </c>
      <c r="M121" s="3" t="n"/>
      <c r="N121" s="3">
        <f>IF($A121="","",IF($S121&lt;&gt;"表示",0,IF($M121&gt;0,$M121,IFERROR($J121*$L121,0))))</f>
        <v/>
      </c>
      <c r="O121" s="3">
        <f>IF($A121="","",$I121-$N121)</f>
        <v/>
      </c>
      <c r="P121" s="17">
        <f>IF($A121="","",IFERROR($O121/$I121,0))</f>
        <v/>
      </c>
      <c r="Q121" s="11" t="n"/>
      <c r="R121" s="11" t="n"/>
      <c r="S121" s="11" t="inlineStr">
        <is>
          <t>表示</t>
        </is>
      </c>
      <c r="T121" s="11" t="n"/>
      <c r="U121" s="11" t="n"/>
      <c r="V121" s="11" t="n"/>
      <c r="W121" s="11" t="n"/>
      <c r="X121" s="11" t="n"/>
      <c r="Y121" s="11" t="n"/>
      <c r="Z121" s="11" t="n"/>
    </row>
    <row r="122" ht="26.75" customHeight="1">
      <c r="A122" s="11" t="n">
        <v>121</v>
      </c>
      <c r="B122" s="11" t="inlineStr">
        <is>
          <t>2F　洋間8帖　A</t>
        </is>
      </c>
      <c r="C122" s="11" t="inlineStr">
        <is>
          <t>施工</t>
        </is>
      </c>
      <c r="D122" s="11" t="inlineStr">
        <is>
          <t>片開き戸取替え</t>
        </is>
      </c>
      <c r="E122" s="3" t="n">
        <v>1</v>
      </c>
      <c r="F122" s="11" t="inlineStr">
        <is>
          <t>式</t>
        </is>
      </c>
      <c r="G122" s="3" t="n"/>
      <c r="H122" s="3" t="n">
        <v>4200</v>
      </c>
      <c r="I122" s="3">
        <f>IF($A122="","",IF($S122&lt;&gt;"表示",0,IF($H122&gt;0,$H122,IFERROR($E122*$G122,0))))</f>
        <v/>
      </c>
      <c r="J122" s="3" t="n">
        <v>1</v>
      </c>
      <c r="K122" s="11" t="inlineStr">
        <is>
          <t>式</t>
        </is>
      </c>
      <c r="L122" s="3" t="n"/>
      <c r="M122" s="3" t="n">
        <v>3000</v>
      </c>
      <c r="N122" s="3">
        <f>IF($A122="","",IF($S122&lt;&gt;"表示",0,IF($M122&gt;0,$M122,IFERROR($J122*$L122,0))))</f>
        <v/>
      </c>
      <c r="O122" s="3">
        <f>IF($A122="","",$I122-$N122)</f>
        <v/>
      </c>
      <c r="P122" s="17">
        <f>IF($A122="","",IFERROR($O122/$I122,0))</f>
        <v/>
      </c>
      <c r="Q122" s="11" t="n"/>
      <c r="R122" s="11" t="inlineStr">
        <is>
          <t>建付調整</t>
        </is>
      </c>
      <c r="S122" s="11" t="inlineStr">
        <is>
          <t>表示</t>
        </is>
      </c>
      <c r="T122" s="11" t="n"/>
      <c r="U122" s="11" t="n"/>
      <c r="V122" s="11" t="n"/>
      <c r="W122" s="11" t="n"/>
      <c r="X122" s="11" t="n"/>
      <c r="Y122" s="11" t="n"/>
      <c r="Z122" s="11" t="n"/>
    </row>
    <row r="123" ht="26.75" customHeight="1">
      <c r="A123" s="11" t="n">
        <v>122</v>
      </c>
      <c r="B123" s="11" t="inlineStr">
        <is>
          <t>2F　洋間8帖　A</t>
        </is>
      </c>
      <c r="C123" s="11" t="inlineStr">
        <is>
          <t>施工</t>
        </is>
      </c>
      <c r="D123" s="11" t="inlineStr">
        <is>
          <t>クローゼット折れ戸取替えdト</t>
        </is>
      </c>
      <c r="E123" s="3" t="n">
        <v>1</v>
      </c>
      <c r="F123" s="11" t="inlineStr">
        <is>
          <t>式</t>
        </is>
      </c>
      <c r="G123" s="3" t="n"/>
      <c r="H123" s="3" t="n">
        <v>14200</v>
      </c>
      <c r="I123" s="3">
        <f>IF($A123="","",IF($S123&lt;&gt;"表示",0,IF($H123&gt;0,$H123,IFERROR($E123*$G123,0))))</f>
        <v/>
      </c>
      <c r="J123" s="3" t="n">
        <v>1</v>
      </c>
      <c r="K123" s="11" t="inlineStr">
        <is>
          <t>式</t>
        </is>
      </c>
      <c r="L123" s="3" t="n"/>
      <c r="M123" s="3" t="n">
        <v>10000</v>
      </c>
      <c r="N123" s="3">
        <f>IF($A123="","",IF($S123&lt;&gt;"表示",0,IF($M123&gt;0,$M123,IFERROR($J123*$L123,0))))</f>
        <v/>
      </c>
      <c r="O123" s="3">
        <f>IF($A123="","",$I123-$N123)</f>
        <v/>
      </c>
      <c r="P123" s="17">
        <f>IF($A123="","",IFERROR($O123/$I123,0))</f>
        <v/>
      </c>
      <c r="Q123" s="11" t="inlineStr">
        <is>
          <t>半人役ハン</t>
        </is>
      </c>
      <c r="R123" s="11" t="inlineStr">
        <is>
          <t>取り合い補修含む</t>
        </is>
      </c>
      <c r="S123" s="11" t="inlineStr">
        <is>
          <t>表示</t>
        </is>
      </c>
      <c r="T123" s="11" t="n"/>
      <c r="U123" s="11" t="n"/>
      <c r="V123" s="11" t="n"/>
      <c r="W123" s="11" t="n"/>
      <c r="X123" s="11" t="n"/>
      <c r="Y123" s="11" t="n"/>
      <c r="Z123" s="11" t="n"/>
    </row>
    <row r="124" ht="26.75" customHeight="1">
      <c r="A124" s="11" t="n">
        <v>123</v>
      </c>
      <c r="B124" s="11" t="inlineStr">
        <is>
          <t>2F　洋間8帖　A</t>
        </is>
      </c>
      <c r="C124" s="11" t="inlineStr">
        <is>
          <t>施工</t>
        </is>
      </c>
      <c r="D124" s="11" t="inlineStr">
        <is>
          <t>天井　ビニールクロス貼替え</t>
        </is>
      </c>
      <c r="E124" s="3" t="n">
        <v>15</v>
      </c>
      <c r="F124" s="11" t="inlineStr">
        <is>
          <t>㎡</t>
        </is>
      </c>
      <c r="G124" s="3" t="n">
        <v>1140</v>
      </c>
      <c r="H124" s="3" t="n"/>
      <c r="I124" s="3">
        <f>IF($A124="","",IF($S124&lt;&gt;"表示",0,IF($H124&gt;0,$H124,IFERROR($E124*$G124,0))))</f>
        <v/>
      </c>
      <c r="J124" s="3" t="n">
        <v>15</v>
      </c>
      <c r="K124" s="11" t="inlineStr">
        <is>
          <t>㎡</t>
        </is>
      </c>
      <c r="L124" s="3" t="n">
        <v>650</v>
      </c>
      <c r="M124" s="3" t="n"/>
      <c r="N124" s="3">
        <f>IF($A124="","",IF($S124&lt;&gt;"表示",0,IF($M124&gt;0,$M124,IFERROR($J124*$L124,0))))</f>
        <v/>
      </c>
      <c r="O124" s="3">
        <f>IF($A124="","",$I124-$N124)</f>
        <v/>
      </c>
      <c r="P124" s="17">
        <f>IF($A124="","",IFERROR($O124/$I124,0))</f>
        <v/>
      </c>
      <c r="Q124" s="11" t="inlineStr">
        <is>
          <t>材工共ザコトモ</t>
        </is>
      </c>
      <c r="R124" s="11" t="inlineStr">
        <is>
          <t>量産品　SP</t>
        </is>
      </c>
      <c r="S124" s="11" t="inlineStr">
        <is>
          <t>表示</t>
        </is>
      </c>
      <c r="T124" s="11" t="n"/>
      <c r="U124" s="11" t="n"/>
      <c r="V124" s="11" t="n"/>
      <c r="W124" s="11" t="n"/>
      <c r="X124" s="11" t="n"/>
      <c r="Y124" s="11" t="n"/>
      <c r="Z124" s="11" t="n"/>
    </row>
    <row r="125" ht="26.75" customHeight="1">
      <c r="A125" s="11" t="n">
        <v>124</v>
      </c>
      <c r="B125" s="11" t="inlineStr">
        <is>
          <t>2F　洋間8帖　A</t>
        </is>
      </c>
      <c r="C125" s="11" t="inlineStr">
        <is>
          <t>施工</t>
        </is>
      </c>
      <c r="D125" s="11" t="inlineStr">
        <is>
          <t>壁 〃</t>
        </is>
      </c>
      <c r="E125" s="3" t="n">
        <v>31.7</v>
      </c>
      <c r="F125" s="11" t="inlineStr">
        <is>
          <t>㎡</t>
        </is>
      </c>
      <c r="G125" s="3" t="n">
        <v>1140</v>
      </c>
      <c r="H125" s="3" t="n"/>
      <c r="I125" s="3">
        <f>IF($A125="","",IF($S125&lt;&gt;"表示",0,IF($H125&gt;0,$H125,IFERROR($E125*$G125,0))))</f>
        <v/>
      </c>
      <c r="J125" s="3" t="n">
        <v>31.7</v>
      </c>
      <c r="K125" s="11" t="inlineStr">
        <is>
          <t>㎡</t>
        </is>
      </c>
      <c r="L125" s="3" t="n">
        <v>650</v>
      </c>
      <c r="M125" s="3" t="n"/>
      <c r="N125" s="3">
        <f>IF($A125="","",IF($S125&lt;&gt;"表示",0,IF($M125&gt;0,$M125,IFERROR($J125*$L125,0))))</f>
        <v/>
      </c>
      <c r="O125" s="3">
        <f>IF($A125="","",$I125-$N125)</f>
        <v/>
      </c>
      <c r="P125" s="17">
        <f>IF($A125="","",IFERROR($O125/$I125,0))</f>
        <v/>
      </c>
      <c r="Q125" s="11" t="inlineStr">
        <is>
          <t>材工共ザコトモ</t>
        </is>
      </c>
      <c r="R125" s="11" t="inlineStr">
        <is>
          <t>量産品　SP</t>
        </is>
      </c>
      <c r="S125" s="11" t="inlineStr">
        <is>
          <t>表示</t>
        </is>
      </c>
      <c r="T125" s="11" t="n"/>
      <c r="U125" s="11" t="n"/>
      <c r="V125" s="11" t="n"/>
      <c r="W125" s="11" t="n"/>
      <c r="X125" s="11" t="n"/>
      <c r="Y125" s="11" t="n"/>
      <c r="Z125" s="11" t="n"/>
    </row>
    <row r="126" ht="26.75" customHeight="1">
      <c r="A126" s="11" t="n">
        <v>125</v>
      </c>
      <c r="B126" s="11" t="inlineStr">
        <is>
          <t>2F　洋間8帖　A</t>
        </is>
      </c>
      <c r="C126" s="11" t="inlineStr">
        <is>
          <t>施工</t>
        </is>
      </c>
      <c r="D126" s="11" t="inlineStr">
        <is>
          <t>木枠塗装</t>
        </is>
      </c>
      <c r="E126" s="3" t="n">
        <v>1</v>
      </c>
      <c r="F126" s="11" t="inlineStr">
        <is>
          <t>式</t>
        </is>
      </c>
      <c r="G126" s="3" t="n"/>
      <c r="H126" s="3" t="n">
        <v>8500</v>
      </c>
      <c r="I126" s="3">
        <f>IF($A126="","",IF($S126&lt;&gt;"表示",0,IF($H126&gt;0,$H126,IFERROR($E126*$G126,0))))</f>
        <v/>
      </c>
      <c r="J126" s="3" t="n">
        <v>1</v>
      </c>
      <c r="K126" s="11" t="inlineStr">
        <is>
          <t>式</t>
        </is>
      </c>
      <c r="L126" s="3" t="n"/>
      <c r="M126" s="3" t="n">
        <v>6000</v>
      </c>
      <c r="N126" s="3">
        <f>IF($A126="","",IF($S126&lt;&gt;"表示",0,IF($M126&gt;0,$M126,IFERROR($J126*$L126,0))))</f>
        <v/>
      </c>
      <c r="O126" s="3">
        <f>IF($A126="","",$I126-$N126)</f>
        <v/>
      </c>
      <c r="P126" s="17">
        <f>IF($A126="","",IFERROR($O126/$I126,0))</f>
        <v/>
      </c>
      <c r="Q126" s="11" t="n"/>
      <c r="R126" s="11" t="n"/>
      <c r="S126" s="11" t="inlineStr">
        <is>
          <t>表示</t>
        </is>
      </c>
      <c r="T126" s="11" t="n"/>
      <c r="U126" s="11" t="n"/>
      <c r="V126" s="11" t="n"/>
      <c r="W126" s="11" t="n"/>
      <c r="X126" s="11" t="n"/>
      <c r="Y126" s="11" t="n"/>
      <c r="Z126" s="11" t="n"/>
    </row>
    <row r="127" ht="26.75" customHeight="1">
      <c r="A127" s="11" t="n">
        <v>126</v>
      </c>
      <c r="B127" s="11" t="inlineStr">
        <is>
          <t>2F　洋間8帖　A</t>
        </is>
      </c>
      <c r="C127" s="11" t="inlineStr">
        <is>
          <t>施工</t>
        </is>
      </c>
      <c r="D127" s="11" t="inlineStr">
        <is>
          <t>プレート取替</t>
        </is>
      </c>
      <c r="E127" s="3" t="n">
        <v>3</v>
      </c>
      <c r="F127" s="11" t="inlineStr">
        <is>
          <t>セット</t>
        </is>
      </c>
      <c r="G127" s="3" t="n">
        <v>850</v>
      </c>
      <c r="H127" s="3" t="n"/>
      <c r="I127" s="3">
        <f>IF($A127="","",IF($S127&lt;&gt;"表示",0,IF($H127&gt;0,$H127,IFERROR($E127*$G127,0))))</f>
        <v/>
      </c>
      <c r="J127" s="3" t="n">
        <v>3</v>
      </c>
      <c r="K127" s="11" t="inlineStr">
        <is>
          <t>セット</t>
        </is>
      </c>
      <c r="L127" s="3" t="n">
        <v>600</v>
      </c>
      <c r="M127" s="3" t="n"/>
      <c r="N127" s="3">
        <f>IF($A127="","",IF($S127&lt;&gt;"表示",0,IF($M127&gt;0,$M127,IFERROR($J127*$L127,0))))</f>
        <v/>
      </c>
      <c r="O127" s="3">
        <f>IF($A127="","",$I127-$N127)</f>
        <v/>
      </c>
      <c r="P127" s="17">
        <f>IF($A127="","",IFERROR($O127/$I127,0))</f>
        <v/>
      </c>
      <c r="Q127" s="11" t="inlineStr">
        <is>
          <t>材工共ザコトモ</t>
        </is>
      </c>
      <c r="R127" s="11" t="n"/>
      <c r="S127" s="11" t="inlineStr">
        <is>
          <t>表示</t>
        </is>
      </c>
      <c r="T127" s="11" t="n"/>
      <c r="U127" s="11" t="n"/>
      <c r="V127" s="11" t="n"/>
      <c r="W127" s="11" t="n"/>
      <c r="X127" s="11" t="n"/>
      <c r="Y127" s="11" t="n"/>
      <c r="Z127" s="11" t="n"/>
    </row>
    <row r="128" ht="26.75" customHeight="1">
      <c r="A128" s="11" t="n">
        <v>127</v>
      </c>
      <c r="B128" s="11" t="inlineStr">
        <is>
          <t>2F　洋間6帖　B</t>
        </is>
      </c>
      <c r="C128" s="11" t="inlineStr">
        <is>
          <t>材料</t>
        </is>
      </c>
      <c r="D128" s="11" t="inlineStr">
        <is>
          <t>床　フローリング</t>
        </is>
      </c>
      <c r="E128" s="3" t="n">
        <v>3</v>
      </c>
      <c r="F128" s="11" t="inlineStr">
        <is>
          <t>梱</t>
        </is>
      </c>
      <c r="G128" s="3" t="n">
        <v>8000</v>
      </c>
      <c r="H128" s="3" t="n"/>
      <c r="I128" s="3">
        <f>IF($A128="","",IF($S128&lt;&gt;"表示",0,IF($H128&gt;0,$H128,IFERROR($E128*$G128,0))))</f>
        <v/>
      </c>
      <c r="J128" s="3" t="n">
        <v>3</v>
      </c>
      <c r="K128" s="11" t="inlineStr">
        <is>
          <t>梱</t>
        </is>
      </c>
      <c r="L128" s="3" t="n">
        <v>6000</v>
      </c>
      <c r="M128" s="3" t="n"/>
      <c r="N128" s="3">
        <f>IF($A128="","",IF($S128&lt;&gt;"表示",0,IF($M128&gt;0,$M128,IFERROR($J128*$L128,0))))</f>
        <v/>
      </c>
      <c r="O128" s="3">
        <f>IF($A128="","",$I128-$N128)</f>
        <v/>
      </c>
      <c r="P128" s="17">
        <f>IF($A128="","",IFERROR($O128/$I128,0))</f>
        <v/>
      </c>
      <c r="Q128" s="11" t="inlineStr">
        <is>
          <t>定価12,000円/梱（3.3㎡）×35％</t>
        </is>
      </c>
      <c r="R128" s="11" t="inlineStr">
        <is>
          <t>ノダ　ウォークフィット6　6.3㎜厚</t>
        </is>
      </c>
      <c r="S128" s="11" t="inlineStr">
        <is>
          <t>表示</t>
        </is>
      </c>
      <c r="T128" s="11" t="n"/>
      <c r="U128" s="11" t="n"/>
      <c r="V128" s="11" t="n"/>
      <c r="W128" s="11" t="n"/>
      <c r="X128" s="11" t="n"/>
      <c r="Y128" s="11" t="n"/>
      <c r="Z128" s="11" t="n"/>
    </row>
    <row r="129" ht="26.75" customHeight="1">
      <c r="A129" s="11" t="n">
        <v>128</v>
      </c>
      <c r="B129" s="11" t="inlineStr">
        <is>
          <t>2F　洋間6帖　B</t>
        </is>
      </c>
      <c r="C129" s="11" t="inlineStr">
        <is>
          <t>材料</t>
        </is>
      </c>
      <c r="D129" s="11" t="inlineStr">
        <is>
          <t>巾木</t>
        </is>
      </c>
      <c r="E129" s="3" t="n">
        <v>3</v>
      </c>
      <c r="F129" s="11" t="inlineStr">
        <is>
          <t>本</t>
        </is>
      </c>
      <c r="G129" s="3" t="n">
        <v>900</v>
      </c>
      <c r="H129" s="3" t="n"/>
      <c r="I129" s="3">
        <f>IF($A129="","",IF($S129&lt;&gt;"表示",0,IF($H129&gt;0,$H129,IFERROR($E129*$G129,0))))</f>
        <v/>
      </c>
      <c r="J129" s="3" t="n">
        <v>3</v>
      </c>
      <c r="K129" s="11" t="inlineStr">
        <is>
          <t>本</t>
        </is>
      </c>
      <c r="L129" s="3" t="n">
        <v>735</v>
      </c>
      <c r="M129" s="3" t="n"/>
      <c r="N129" s="3">
        <f>IF($A129="","",IF($S129&lt;&gt;"表示",0,IF($M129&gt;0,$M129,IFERROR($J129*$L129,0))))</f>
        <v/>
      </c>
      <c r="O129" s="3">
        <f>IF($A129="","",$I129-$N129)</f>
        <v/>
      </c>
      <c r="P129" s="17">
        <f>IF($A129="","",IFERROR($O129/$I129,0))</f>
        <v/>
      </c>
      <c r="Q129" s="11" t="inlineStr">
        <is>
          <t>定価2,100円/本×35％</t>
        </is>
      </c>
      <c r="R129" s="11" t="inlineStr">
        <is>
          <t>ノダ　巾木　7×60×3,950㎜（3本入）</t>
        </is>
      </c>
      <c r="S129" s="11" t="inlineStr">
        <is>
          <t>表示</t>
        </is>
      </c>
      <c r="T129" s="11" t="n"/>
      <c r="U129" s="11" t="n"/>
      <c r="V129" s="11" t="n"/>
      <c r="W129" s="11" t="n"/>
      <c r="X129" s="11" t="n"/>
      <c r="Y129" s="11" t="n"/>
      <c r="Z129" s="11" t="n"/>
    </row>
    <row r="130" ht="26.75" customHeight="1">
      <c r="A130" s="11" t="n">
        <v>129</v>
      </c>
      <c r="B130" s="11" t="inlineStr">
        <is>
          <t>2F　洋間6帖　B</t>
        </is>
      </c>
      <c r="C130" s="11" t="inlineStr">
        <is>
          <t>材料</t>
        </is>
      </c>
      <c r="D130" s="11" t="inlineStr">
        <is>
          <t>片開き戸（ドアのみ）</t>
        </is>
      </c>
      <c r="E130" s="3" t="n">
        <v>1</v>
      </c>
      <c r="F130" s="11" t="inlineStr">
        <is>
          <t>セット</t>
        </is>
      </c>
      <c r="G130" s="3" t="n">
        <v>24000</v>
      </c>
      <c r="H130" s="3" t="n"/>
      <c r="I130" s="3">
        <f>IF($A130="","",IF($S130&lt;&gt;"表示",0,IF($H130&gt;0,$H130,IFERROR($E130*$G130,0))))</f>
        <v/>
      </c>
      <c r="J130" s="3" t="n">
        <v>1</v>
      </c>
      <c r="K130" s="11" t="inlineStr">
        <is>
          <t>セット</t>
        </is>
      </c>
      <c r="L130" s="3" t="n">
        <v>18000</v>
      </c>
      <c r="M130" s="3" t="n"/>
      <c r="N130" s="3">
        <f>IF($A130="","",IF($S130&lt;&gt;"表示",0,IF($M130&gt;0,$M130,IFERROR($J130*$L130,0))))</f>
        <v/>
      </c>
      <c r="O130" s="3">
        <f>IF($A130="","",$I130-$N130)</f>
        <v/>
      </c>
      <c r="P130" s="17">
        <f>IF($A130="","",IFERROR($O130/$I130,0))</f>
        <v/>
      </c>
      <c r="Q130" s="11" t="n"/>
      <c r="R130" s="11" t="inlineStr">
        <is>
          <t>別注プリント貼り　フラッシュドア　金物含む</t>
        </is>
      </c>
      <c r="S130" s="11" t="inlineStr">
        <is>
          <t>表示</t>
        </is>
      </c>
      <c r="T130" s="11" t="n"/>
      <c r="U130" s="11" t="n"/>
      <c r="V130" s="11" t="n"/>
      <c r="W130" s="11" t="n"/>
      <c r="X130" s="11" t="n"/>
      <c r="Y130" s="11" t="n"/>
      <c r="Z130" s="11" t="n"/>
    </row>
    <row r="131" ht="26.75" customHeight="1">
      <c r="A131" s="11" t="n">
        <v>130</v>
      </c>
      <c r="B131" s="11" t="inlineStr">
        <is>
          <t>2F　洋間6帖　B</t>
        </is>
      </c>
      <c r="C131" s="11" t="inlineStr">
        <is>
          <t>材料</t>
        </is>
      </c>
      <c r="D131" s="11" t="inlineStr">
        <is>
          <t>クローゼット折れ戸（枠セット）　W1.5間×8尺</t>
        </is>
      </c>
      <c r="E131" s="3" t="n">
        <v>1</v>
      </c>
      <c r="F131" s="11" t="inlineStr">
        <is>
          <t>セット</t>
        </is>
      </c>
      <c r="G131" s="3" t="n">
        <v>62900</v>
      </c>
      <c r="H131" s="3" t="n"/>
      <c r="I131" s="3">
        <f>IF($A131="","",IF($S131&lt;&gt;"表示",0,IF($H131&gt;0,$H131,IFERROR($E131*$G131,0))))</f>
        <v/>
      </c>
      <c r="J131" s="3" t="n">
        <v>1</v>
      </c>
      <c r="K131" s="11" t="inlineStr">
        <is>
          <t>セット</t>
        </is>
      </c>
      <c r="L131" s="3" t="n">
        <v>37440</v>
      </c>
      <c r="M131" s="3" t="n"/>
      <c r="N131" s="3">
        <f>IF($A131="","",IF($S131&lt;&gt;"表示",0,IF($M131&gt;0,$M131,IFERROR($J131*$L131,0))))</f>
        <v/>
      </c>
      <c r="O131" s="3">
        <f>IF($A131="","",$I131-$N131)</f>
        <v/>
      </c>
      <c r="P131" s="17">
        <f>IF($A131="","",IFERROR($O131/$I131,0))</f>
        <v/>
      </c>
      <c r="Q131" s="11" t="inlineStr">
        <is>
          <t>定価117,000円×32％</t>
        </is>
      </c>
      <c r="R131" s="11" t="inlineStr">
        <is>
          <t>リクシル　ウォールイン折れ戸　固定3方枠　ファミリーライン</t>
        </is>
      </c>
      <c r="S131" s="11" t="inlineStr">
        <is>
          <t>表示</t>
        </is>
      </c>
      <c r="T131" s="11" t="n"/>
      <c r="U131" s="11" t="n"/>
      <c r="V131" s="11" t="n"/>
      <c r="W131" s="11" t="n"/>
      <c r="X131" s="11" t="n"/>
      <c r="Y131" s="11" t="n"/>
      <c r="Z131" s="11" t="n"/>
    </row>
    <row r="132" ht="26.75" customHeight="1">
      <c r="A132" s="11" t="n">
        <v>131</v>
      </c>
      <c r="B132" s="11" t="inlineStr">
        <is>
          <t>2F　洋間6帖　B</t>
        </is>
      </c>
      <c r="C132" s="11" t="inlineStr">
        <is>
          <t>材料</t>
        </is>
      </c>
      <c r="D132" s="11" t="inlineStr">
        <is>
          <t>クローゼット折れ戸取付雑材</t>
        </is>
      </c>
      <c r="E132" s="3" t="n">
        <v>1</v>
      </c>
      <c r="F132" s="11" t="inlineStr">
        <is>
          <t>式</t>
        </is>
      </c>
      <c r="G132" s="3" t="n"/>
      <c r="H132" s="3" t="n">
        <v>4000</v>
      </c>
      <c r="I132" s="3">
        <f>IF($A132="","",IF($S132&lt;&gt;"表示",0,IF($H132&gt;0,$H132,IFERROR($E132*$G132,0))))</f>
        <v/>
      </c>
      <c r="J132" s="3" t="n">
        <v>1</v>
      </c>
      <c r="K132" s="11" t="inlineStr">
        <is>
          <t>式</t>
        </is>
      </c>
      <c r="L132" s="3" t="n"/>
      <c r="M132" s="3" t="n">
        <v>3000</v>
      </c>
      <c r="N132" s="3">
        <f>IF($A132="","",IF($S132&lt;&gt;"表示",0,IF($M132&gt;0,$M132,IFERROR($J132*$L132,0))))</f>
        <v/>
      </c>
      <c r="O132" s="3">
        <f>IF($A132="","",$I132-$N132)</f>
        <v/>
      </c>
      <c r="P132" s="17">
        <f>IF($A132="","",IFERROR($O132/$I132,0))</f>
        <v/>
      </c>
      <c r="Q132" s="11" t="n"/>
      <c r="R132" s="11" t="n"/>
      <c r="S132" s="11" t="inlineStr">
        <is>
          <t>表示</t>
        </is>
      </c>
      <c r="T132" s="11" t="n"/>
      <c r="U132" s="11" t="n"/>
      <c r="V132" s="11" t="n"/>
      <c r="W132" s="11" t="n"/>
      <c r="X132" s="11" t="n"/>
      <c r="Y132" s="11" t="n"/>
      <c r="Z132" s="11" t="n"/>
    </row>
    <row r="133" ht="26.75" customHeight="1">
      <c r="A133" s="11" t="n">
        <v>132</v>
      </c>
      <c r="B133" s="11" t="inlineStr">
        <is>
          <t>2F　洋間6帖　B</t>
        </is>
      </c>
      <c r="C133" s="11" t="inlineStr">
        <is>
          <t>材料</t>
        </is>
      </c>
      <c r="D133" s="11" t="inlineStr">
        <is>
          <t>木枠塗装剤</t>
        </is>
      </c>
      <c r="E133" s="3" t="n">
        <v>1</v>
      </c>
      <c r="F133" s="11" t="inlineStr">
        <is>
          <t>式</t>
        </is>
      </c>
      <c r="G133" s="3" t="n"/>
      <c r="H133" s="3" t="n">
        <v>4000</v>
      </c>
      <c r="I133" s="3">
        <f>IF($A133="","",IF($S133&lt;&gt;"表示",0,IF($H133&gt;0,$H133,IFERROR($E133*$G133,0))))</f>
        <v/>
      </c>
      <c r="J133" s="3" t="n">
        <v>1</v>
      </c>
      <c r="K133" s="11" t="inlineStr">
        <is>
          <t>式</t>
        </is>
      </c>
      <c r="L133" s="3" t="n"/>
      <c r="M133" s="3" t="n">
        <v>3000</v>
      </c>
      <c r="N133" s="3">
        <f>IF($A133="","",IF($S133&lt;&gt;"表示",0,IF($M133&gt;0,$M133,IFERROR($J133*$L133,0))))</f>
        <v/>
      </c>
      <c r="O133" s="3">
        <f>IF($A133="","",$I133-$N133)</f>
        <v/>
      </c>
      <c r="P133" s="17">
        <f>IF($A133="","",IFERROR($O133/$I133,0))</f>
        <v/>
      </c>
      <c r="Q133" s="11" t="n"/>
      <c r="R133" s="11" t="n"/>
      <c r="S133" s="11" t="inlineStr">
        <is>
          <t>表示</t>
        </is>
      </c>
      <c r="T133" s="11" t="n"/>
      <c r="U133" s="11" t="n"/>
      <c r="V133" s="11" t="n"/>
      <c r="W133" s="11" t="n"/>
      <c r="X133" s="11" t="n"/>
      <c r="Y133" s="11" t="n"/>
      <c r="Z133" s="11" t="n"/>
    </row>
    <row r="134" ht="26.75" customHeight="1">
      <c r="A134" s="11" t="n">
        <v>133</v>
      </c>
      <c r="B134" s="11" t="inlineStr">
        <is>
          <t>2F　洋間6帖　B</t>
        </is>
      </c>
      <c r="C134" s="11" t="inlineStr">
        <is>
          <t>施工</t>
        </is>
      </c>
      <c r="D134" s="11" t="inlineStr">
        <is>
          <t>床　フローリング重ね貼り</t>
        </is>
      </c>
      <c r="E134" s="3" t="n">
        <v>10</v>
      </c>
      <c r="F134" s="11" t="inlineStr">
        <is>
          <t>㎡</t>
        </is>
      </c>
      <c r="G134" s="3" t="n">
        <v>2140</v>
      </c>
      <c r="H134" s="3" t="n"/>
      <c r="I134" s="3">
        <f>IF($A134="","",IF($S134&lt;&gt;"表示",0,IF($H134&gt;0,$H134,IFERROR($E134*$G134,0))))</f>
        <v/>
      </c>
      <c r="J134" s="3" t="n">
        <v>10</v>
      </c>
      <c r="K134" s="11" t="inlineStr">
        <is>
          <t>㎡</t>
        </is>
      </c>
      <c r="L134" s="3" t="n">
        <v>1500</v>
      </c>
      <c r="M134" s="3" t="n"/>
      <c r="N134" s="3">
        <f>IF($A134="","",IF($S134&lt;&gt;"表示",0,IF($M134&gt;0,$M134,IFERROR($J134*$L134,0))))</f>
        <v/>
      </c>
      <c r="O134" s="3">
        <f>IF($A134="","",$I134-$N134)</f>
        <v/>
      </c>
      <c r="P134" s="17">
        <f>IF($A134="","",IFERROR($O134/$I134,0))</f>
        <v/>
      </c>
      <c r="Q134" s="11" t="n"/>
      <c r="R134" s="11" t="n"/>
      <c r="S134" s="11" t="inlineStr">
        <is>
          <t>表示</t>
        </is>
      </c>
      <c r="T134" s="11" t="n"/>
      <c r="U134" s="11" t="n"/>
      <c r="V134" s="11" t="n"/>
      <c r="W134" s="11" t="n"/>
      <c r="X134" s="11" t="n"/>
      <c r="Y134" s="11" t="n"/>
      <c r="Z134" s="11" t="n"/>
    </row>
    <row r="135" ht="26.75" customHeight="1">
      <c r="A135" s="11" t="n">
        <v>134</v>
      </c>
      <c r="B135" s="11" t="inlineStr">
        <is>
          <t>2F　洋間6帖　B</t>
        </is>
      </c>
      <c r="C135" s="11" t="inlineStr">
        <is>
          <t>施工</t>
        </is>
      </c>
      <c r="D135" s="11" t="inlineStr">
        <is>
          <t>巾木取替え</t>
        </is>
      </c>
      <c r="E135" s="3" t="n">
        <v>7.2</v>
      </c>
      <c r="F135" s="11" t="inlineStr">
        <is>
          <t>m</t>
        </is>
      </c>
      <c r="G135" s="3" t="n">
        <v>850</v>
      </c>
      <c r="H135" s="3" t="n"/>
      <c r="I135" s="3">
        <f>IF($A135="","",IF($S135&lt;&gt;"表示",0,IF($H135&gt;0,$H135,IFERROR($E135*$G135,0))))</f>
        <v/>
      </c>
      <c r="J135" s="3" t="n">
        <v>7.2</v>
      </c>
      <c r="K135" s="11" t="inlineStr">
        <is>
          <t>m</t>
        </is>
      </c>
      <c r="L135" s="3" t="n">
        <v>600</v>
      </c>
      <c r="M135" s="3" t="n"/>
      <c r="N135" s="3">
        <f>IF($A135="","",IF($S135&lt;&gt;"表示",0,IF($M135&gt;0,$M135,IFERROR($J135*$L135,0))))</f>
        <v/>
      </c>
      <c r="O135" s="3">
        <f>IF($A135="","",$I135-$N135)</f>
        <v/>
      </c>
      <c r="P135" s="17">
        <f>IF($A135="","",IFERROR($O135/$I135,0))</f>
        <v/>
      </c>
      <c r="Q135" s="11" t="n"/>
      <c r="R135" s="11" t="n"/>
      <c r="S135" s="11" t="inlineStr">
        <is>
          <t>表示</t>
        </is>
      </c>
      <c r="T135" s="11" t="n"/>
      <c r="U135" s="11" t="n"/>
      <c r="V135" s="11" t="n"/>
      <c r="W135" s="11" t="n"/>
      <c r="X135" s="11" t="n"/>
      <c r="Y135" s="11" t="n"/>
      <c r="Z135" s="11" t="n"/>
    </row>
    <row r="136" ht="26.75" customHeight="1">
      <c r="A136" s="11" t="n">
        <v>135</v>
      </c>
      <c r="B136" s="11" t="inlineStr">
        <is>
          <t>2F　洋間6帖　B</t>
        </is>
      </c>
      <c r="C136" s="11" t="inlineStr">
        <is>
          <t>施工</t>
        </is>
      </c>
      <c r="D136" s="11" t="inlineStr">
        <is>
          <t>片開き戸取替え</t>
        </is>
      </c>
      <c r="E136" s="3" t="n">
        <v>1</v>
      </c>
      <c r="F136" s="11" t="inlineStr">
        <is>
          <t>式</t>
        </is>
      </c>
      <c r="G136" s="3" t="n"/>
      <c r="H136" s="3" t="n">
        <v>4200</v>
      </c>
      <c r="I136" s="3">
        <f>IF($A136="","",IF($S136&lt;&gt;"表示",0,IF($H136&gt;0,$H136,IFERROR($E136*$G136,0))))</f>
        <v/>
      </c>
      <c r="J136" s="3" t="n">
        <v>1</v>
      </c>
      <c r="K136" s="11" t="inlineStr">
        <is>
          <t>式</t>
        </is>
      </c>
      <c r="L136" s="3" t="n"/>
      <c r="M136" s="3" t="n">
        <v>3000</v>
      </c>
      <c r="N136" s="3">
        <f>IF($A136="","",IF($S136&lt;&gt;"表示",0,IF($M136&gt;0,$M136,IFERROR($J136*$L136,0))))</f>
        <v/>
      </c>
      <c r="O136" s="3">
        <f>IF($A136="","",$I136-$N136)</f>
        <v/>
      </c>
      <c r="P136" s="17">
        <f>IF($A136="","",IFERROR($O136/$I136,0))</f>
        <v/>
      </c>
      <c r="Q136" s="11" t="n"/>
      <c r="R136" s="11" t="inlineStr">
        <is>
          <t>建付調整</t>
        </is>
      </c>
      <c r="S136" s="11" t="inlineStr">
        <is>
          <t>表示</t>
        </is>
      </c>
      <c r="T136" s="11" t="n"/>
      <c r="U136" s="11" t="n"/>
      <c r="V136" s="11" t="n"/>
      <c r="W136" s="11" t="n"/>
      <c r="X136" s="11" t="n"/>
      <c r="Y136" s="11" t="n"/>
      <c r="Z136" s="11" t="n"/>
    </row>
    <row r="137" ht="26.75" customHeight="1">
      <c r="A137" s="11" t="n">
        <v>136</v>
      </c>
      <c r="B137" s="11" t="inlineStr">
        <is>
          <t>2F　洋間6帖　B</t>
        </is>
      </c>
      <c r="C137" s="11" t="inlineStr">
        <is>
          <t>施工</t>
        </is>
      </c>
      <c r="D137" s="11" t="inlineStr">
        <is>
          <t>クローゼット折れ戸取替えdト</t>
        </is>
      </c>
      <c r="E137" s="3" t="n">
        <v>1</v>
      </c>
      <c r="F137" s="11" t="inlineStr">
        <is>
          <t>式</t>
        </is>
      </c>
      <c r="G137" s="3" t="n"/>
      <c r="H137" s="3" t="n">
        <v>14200</v>
      </c>
      <c r="I137" s="3">
        <f>IF($A137="","",IF($S137&lt;&gt;"表示",0,IF($H137&gt;0,$H137,IFERROR($E137*$G137,0))))</f>
        <v/>
      </c>
      <c r="J137" s="3" t="n">
        <v>1</v>
      </c>
      <c r="K137" s="11" t="inlineStr">
        <is>
          <t>式</t>
        </is>
      </c>
      <c r="L137" s="3" t="n"/>
      <c r="M137" s="3" t="n">
        <v>10000</v>
      </c>
      <c r="N137" s="3">
        <f>IF($A137="","",IF($S137&lt;&gt;"表示",0,IF($M137&gt;0,$M137,IFERROR($J137*$L137,0))))</f>
        <v/>
      </c>
      <c r="O137" s="3">
        <f>IF($A137="","",$I137-$N137)</f>
        <v/>
      </c>
      <c r="P137" s="17">
        <f>IF($A137="","",IFERROR($O137/$I137,0))</f>
        <v/>
      </c>
      <c r="Q137" s="11" t="inlineStr">
        <is>
          <t>半人役ハン</t>
        </is>
      </c>
      <c r="R137" s="11" t="inlineStr">
        <is>
          <t>取り合い補修含む</t>
        </is>
      </c>
      <c r="S137" s="11" t="inlineStr">
        <is>
          <t>表示</t>
        </is>
      </c>
      <c r="T137" s="11" t="n"/>
      <c r="U137" s="11" t="n"/>
      <c r="V137" s="11" t="n"/>
      <c r="W137" s="11" t="n"/>
      <c r="X137" s="11" t="n"/>
      <c r="Y137" s="11" t="n"/>
      <c r="Z137" s="11" t="n"/>
    </row>
    <row r="138" ht="26.75" customHeight="1">
      <c r="A138" s="11" t="n">
        <v>137</v>
      </c>
      <c r="B138" s="11" t="inlineStr">
        <is>
          <t>2F　洋間6帖　B</t>
        </is>
      </c>
      <c r="C138" s="11" t="inlineStr">
        <is>
          <t>施工</t>
        </is>
      </c>
      <c r="D138" s="11" t="inlineStr">
        <is>
          <t>天井　ビニールクロス貼替え</t>
        </is>
      </c>
      <c r="E138" s="3" t="n">
        <v>10</v>
      </c>
      <c r="F138" s="11" t="inlineStr">
        <is>
          <t>㎡</t>
        </is>
      </c>
      <c r="G138" s="3" t="n">
        <v>1140</v>
      </c>
      <c r="H138" s="3" t="n"/>
      <c r="I138" s="3">
        <f>IF($A138="","",IF($S138&lt;&gt;"表示",0,IF($H138&gt;0,$H138,IFERROR($E138*$G138,0))))</f>
        <v/>
      </c>
      <c r="J138" s="3" t="n">
        <v>10</v>
      </c>
      <c r="K138" s="11" t="inlineStr">
        <is>
          <t>㎡</t>
        </is>
      </c>
      <c r="L138" s="3" t="n">
        <v>650</v>
      </c>
      <c r="M138" s="3" t="n"/>
      <c r="N138" s="3">
        <f>IF($A138="","",IF($S138&lt;&gt;"表示",0,IF($M138&gt;0,$M138,IFERROR($J138*$L138,0))))</f>
        <v/>
      </c>
      <c r="O138" s="3">
        <f>IF($A138="","",$I138-$N138)</f>
        <v/>
      </c>
      <c r="P138" s="17">
        <f>IF($A138="","",IFERROR($O138/$I138,0))</f>
        <v/>
      </c>
      <c r="Q138" s="11" t="inlineStr">
        <is>
          <t>材工共ザコトモ</t>
        </is>
      </c>
      <c r="R138" s="11" t="inlineStr">
        <is>
          <t>量産品　SP</t>
        </is>
      </c>
      <c r="S138" s="11" t="inlineStr">
        <is>
          <t>表示</t>
        </is>
      </c>
      <c r="T138" s="11" t="n"/>
      <c r="U138" s="11" t="n"/>
      <c r="V138" s="11" t="n"/>
      <c r="W138" s="11" t="n"/>
      <c r="X138" s="11" t="n"/>
      <c r="Y138" s="11" t="n"/>
      <c r="Z138" s="11" t="n"/>
    </row>
    <row r="139" ht="26.75" customHeight="1">
      <c r="A139" s="11" t="n">
        <v>138</v>
      </c>
      <c r="B139" s="11" t="inlineStr">
        <is>
          <t>2F　洋間6帖　B</t>
        </is>
      </c>
      <c r="C139" s="11" t="inlineStr">
        <is>
          <t>施工</t>
        </is>
      </c>
      <c r="D139" s="11" t="inlineStr">
        <is>
          <t>壁 〃</t>
        </is>
      </c>
      <c r="E139" s="3" t="n">
        <v>17</v>
      </c>
      <c r="F139" s="11" t="inlineStr">
        <is>
          <t>㎡</t>
        </is>
      </c>
      <c r="G139" s="3" t="n">
        <v>1140</v>
      </c>
      <c r="H139" s="3" t="n"/>
      <c r="I139" s="3">
        <f>IF($A139="","",IF($S139&lt;&gt;"表示",0,IF($H139&gt;0,$H139,IFERROR($E139*$G139,0))))</f>
        <v/>
      </c>
      <c r="J139" s="3" t="n">
        <v>17</v>
      </c>
      <c r="K139" s="11" t="inlineStr">
        <is>
          <t>㎡</t>
        </is>
      </c>
      <c r="L139" s="3" t="n">
        <v>650</v>
      </c>
      <c r="M139" s="3" t="n"/>
      <c r="N139" s="3">
        <f>IF($A139="","",IF($S139&lt;&gt;"表示",0,IF($M139&gt;0,$M139,IFERROR($J139*$L139,0))))</f>
        <v/>
      </c>
      <c r="O139" s="3">
        <f>IF($A139="","",$I139-$N139)</f>
        <v/>
      </c>
      <c r="P139" s="17">
        <f>IF($A139="","",IFERROR($O139/$I139,0))</f>
        <v/>
      </c>
      <c r="Q139" s="11" t="inlineStr">
        <is>
          <t>材工共ザコトモ</t>
        </is>
      </c>
      <c r="R139" s="11" t="inlineStr">
        <is>
          <t>量産品　SP</t>
        </is>
      </c>
      <c r="S139" s="11" t="inlineStr">
        <is>
          <t>表示</t>
        </is>
      </c>
      <c r="T139" s="11" t="n"/>
      <c r="U139" s="11" t="n"/>
      <c r="V139" s="11" t="n"/>
      <c r="W139" s="11" t="n"/>
      <c r="X139" s="11" t="n"/>
      <c r="Y139" s="11" t="n"/>
      <c r="Z139" s="11" t="n"/>
    </row>
    <row r="140" ht="26.75" customHeight="1">
      <c r="A140" s="11" t="n">
        <v>139</v>
      </c>
      <c r="B140" s="11" t="inlineStr">
        <is>
          <t>2F　洋間6帖　B</t>
        </is>
      </c>
      <c r="C140" s="11" t="inlineStr">
        <is>
          <t>施工</t>
        </is>
      </c>
      <c r="D140" s="11" t="inlineStr">
        <is>
          <t>木枠塗装</t>
        </is>
      </c>
      <c r="E140" s="3" t="n">
        <v>1</v>
      </c>
      <c r="F140" s="11" t="inlineStr">
        <is>
          <t>式</t>
        </is>
      </c>
      <c r="G140" s="3" t="n"/>
      <c r="H140" s="3" t="n">
        <v>8500</v>
      </c>
      <c r="I140" s="3">
        <f>IF($A140="","",IF($S140&lt;&gt;"表示",0,IF($H140&gt;0,$H140,IFERROR($E140*$G140,0))))</f>
        <v/>
      </c>
      <c r="J140" s="3" t="n">
        <v>1</v>
      </c>
      <c r="K140" s="11" t="inlineStr">
        <is>
          <t>式</t>
        </is>
      </c>
      <c r="L140" s="3" t="n"/>
      <c r="M140" s="3" t="n">
        <v>6000</v>
      </c>
      <c r="N140" s="3">
        <f>IF($A140="","",IF($S140&lt;&gt;"表示",0,IF($M140&gt;0,$M140,IFERROR($J140*$L140,0))))</f>
        <v/>
      </c>
      <c r="O140" s="3">
        <f>IF($A140="","",$I140-$N140)</f>
        <v/>
      </c>
      <c r="P140" s="17">
        <f>IF($A140="","",IFERROR($O140/$I140,0))</f>
        <v/>
      </c>
      <c r="Q140" s="11" t="n"/>
      <c r="R140" s="11" t="n"/>
      <c r="S140" s="11" t="inlineStr">
        <is>
          <t>表示</t>
        </is>
      </c>
      <c r="T140" s="11" t="n"/>
      <c r="U140" s="11" t="n"/>
      <c r="V140" s="11" t="n"/>
      <c r="W140" s="11" t="n"/>
      <c r="X140" s="11" t="n"/>
      <c r="Y140" s="11" t="n"/>
      <c r="Z140" s="11" t="n"/>
    </row>
    <row r="141" ht="26.75" customHeight="1">
      <c r="A141" s="11" t="n">
        <v>140</v>
      </c>
      <c r="B141" s="11" t="inlineStr">
        <is>
          <t>2F　洋間6帖　B</t>
        </is>
      </c>
      <c r="C141" s="11" t="inlineStr">
        <is>
          <t>施工</t>
        </is>
      </c>
      <c r="D141" s="11" t="inlineStr">
        <is>
          <t>プレート取替</t>
        </is>
      </c>
      <c r="E141" s="3" t="n">
        <v>3</v>
      </c>
      <c r="F141" s="11" t="inlineStr">
        <is>
          <t>セット</t>
        </is>
      </c>
      <c r="G141" s="3" t="n">
        <v>850</v>
      </c>
      <c r="H141" s="3" t="n"/>
      <c r="I141" s="3">
        <f>IF($A141="","",IF($S141&lt;&gt;"表示",0,IF($H141&gt;0,$H141,IFERROR($E141*$G141,0))))</f>
        <v/>
      </c>
      <c r="J141" s="3" t="n">
        <v>3</v>
      </c>
      <c r="K141" s="11" t="inlineStr">
        <is>
          <t>セット</t>
        </is>
      </c>
      <c r="L141" s="3" t="n">
        <v>600</v>
      </c>
      <c r="M141" s="3" t="n"/>
      <c r="N141" s="3">
        <f>IF($A141="","",IF($S141&lt;&gt;"表示",0,IF($M141&gt;0,$M141,IFERROR($J141*$L141,0))))</f>
        <v/>
      </c>
      <c r="O141" s="3">
        <f>IF($A141="","",$I141-$N141)</f>
        <v/>
      </c>
      <c r="P141" s="17">
        <f>IF($A141="","",IFERROR($O141/$I141,0))</f>
        <v/>
      </c>
      <c r="Q141" s="11" t="inlineStr">
        <is>
          <t>材工共ザコトモ</t>
        </is>
      </c>
      <c r="R141" s="11" t="n"/>
      <c r="S141" s="11" t="inlineStr">
        <is>
          <t>表示</t>
        </is>
      </c>
      <c r="T141" s="11" t="n"/>
      <c r="U141" s="11" t="n"/>
      <c r="V141" s="11" t="n"/>
      <c r="W141" s="11" t="n"/>
      <c r="X141" s="11" t="n"/>
      <c r="Y141" s="11" t="n"/>
      <c r="Z141" s="11" t="n"/>
    </row>
    <row r="142" ht="26.75" customHeight="1">
      <c r="A142" s="11" t="n">
        <v>141</v>
      </c>
      <c r="B142" s="11" t="inlineStr">
        <is>
          <t>2F　廊下</t>
        </is>
      </c>
      <c r="C142" s="11" t="inlineStr">
        <is>
          <t>材料</t>
        </is>
      </c>
      <c r="D142" s="11" t="inlineStr">
        <is>
          <t>床　フローリング</t>
        </is>
      </c>
      <c r="E142" s="3" t="n">
        <v>2</v>
      </c>
      <c r="F142" s="11" t="inlineStr">
        <is>
          <t>梱</t>
        </is>
      </c>
      <c r="G142" s="3" t="n">
        <v>8000</v>
      </c>
      <c r="H142" s="3" t="n"/>
      <c r="I142" s="3">
        <f>IF($A142="","",IF($S142&lt;&gt;"表示",0,IF($H142&gt;0,$H142,IFERROR($E142*$G142,0))))</f>
        <v/>
      </c>
      <c r="J142" s="3" t="n">
        <v>2</v>
      </c>
      <c r="K142" s="11" t="inlineStr">
        <is>
          <t>梱</t>
        </is>
      </c>
      <c r="L142" s="3" t="n">
        <v>4550</v>
      </c>
      <c r="M142" s="3" t="n"/>
      <c r="N142" s="3">
        <f>IF($A142="","",IF($S142&lt;&gt;"表示",0,IF($M142&gt;0,$M142,IFERROR($J142*$L142,0))))</f>
        <v/>
      </c>
      <c r="O142" s="3">
        <f>IF($A142="","",$I142-$N142)</f>
        <v/>
      </c>
      <c r="P142" s="17">
        <f>IF($A142="","",IFERROR($O142/$I142,0))</f>
        <v/>
      </c>
      <c r="Q142" s="11" t="inlineStr">
        <is>
          <t>定価12,000円/梱（3.3㎡）×50％</t>
        </is>
      </c>
      <c r="R142" s="11" t="inlineStr">
        <is>
          <t>ノダ　ウォークフィット6　6.3㎜厚</t>
        </is>
      </c>
      <c r="S142" s="11" t="inlineStr">
        <is>
          <t>表示</t>
        </is>
      </c>
      <c r="T142" s="11" t="n"/>
      <c r="U142" s="11" t="n"/>
      <c r="V142" s="11" t="n"/>
      <c r="W142" s="11" t="n"/>
      <c r="X142" s="11" t="n"/>
      <c r="Y142" s="11" t="n"/>
      <c r="Z142" s="11" t="n"/>
    </row>
    <row r="143" ht="26.75" customHeight="1">
      <c r="A143" s="11" t="n">
        <v>142</v>
      </c>
      <c r="B143" s="11" t="inlineStr">
        <is>
          <t>2F　廊下</t>
        </is>
      </c>
      <c r="C143" s="11" t="inlineStr">
        <is>
          <t>材料</t>
        </is>
      </c>
      <c r="D143" s="11" t="inlineStr">
        <is>
          <t>巾木</t>
        </is>
      </c>
      <c r="E143" s="3" t="n">
        <v>3</v>
      </c>
      <c r="F143" s="11" t="inlineStr">
        <is>
          <t>本</t>
        </is>
      </c>
      <c r="G143" s="3" t="n">
        <v>900</v>
      </c>
      <c r="H143" s="3" t="n"/>
      <c r="I143" s="3">
        <f>IF($A143="","",IF($S143&lt;&gt;"表示",0,IF($H143&gt;0,$H143,IFERROR($E143*$G143,0))))</f>
        <v/>
      </c>
      <c r="J143" s="3" t="n">
        <v>3</v>
      </c>
      <c r="K143" s="11" t="inlineStr">
        <is>
          <t>本</t>
        </is>
      </c>
      <c r="L143" s="3" t="n">
        <v>735</v>
      </c>
      <c r="M143" s="3" t="n"/>
      <c r="N143" s="3">
        <f>IF($A143="","",IF($S143&lt;&gt;"表示",0,IF($M143&gt;0,$M143,IFERROR($J143*$L143,0))))</f>
        <v/>
      </c>
      <c r="O143" s="3">
        <f>IF($A143="","",$I143-$N143)</f>
        <v/>
      </c>
      <c r="P143" s="17">
        <f>IF($A143="","",IFERROR($O143/$I143,0))</f>
        <v/>
      </c>
      <c r="Q143" s="11" t="inlineStr">
        <is>
          <t>定価2,010円/本×35％</t>
        </is>
      </c>
      <c r="R143" s="11" t="inlineStr">
        <is>
          <t>ノダ　巾木　7×60×3,950㎜（3本入）</t>
        </is>
      </c>
      <c r="S143" s="11" t="inlineStr">
        <is>
          <t>表示</t>
        </is>
      </c>
      <c r="T143" s="11" t="n"/>
      <c r="U143" s="11" t="n"/>
      <c r="V143" s="11" t="n"/>
      <c r="W143" s="11" t="n"/>
      <c r="X143" s="11" t="n"/>
      <c r="Y143" s="11" t="n"/>
      <c r="Z143" s="11" t="n"/>
    </row>
    <row r="144" ht="26.75" customHeight="1">
      <c r="A144" s="11" t="n">
        <v>143</v>
      </c>
      <c r="B144" s="11" t="inlineStr">
        <is>
          <t>2F　廊下</t>
        </is>
      </c>
      <c r="C144" s="11" t="inlineStr">
        <is>
          <t>材料</t>
        </is>
      </c>
      <c r="D144" s="11" t="inlineStr">
        <is>
          <t>木枠塗装剤</t>
        </is>
      </c>
      <c r="E144" s="3" t="n">
        <v>1</v>
      </c>
      <c r="F144" s="11" t="inlineStr">
        <is>
          <t>式</t>
        </is>
      </c>
      <c r="G144" s="3" t="n"/>
      <c r="H144" s="3" t="n">
        <v>3200</v>
      </c>
      <c r="I144" s="3">
        <f>IF($A144="","",IF($S144&lt;&gt;"表示",0,IF($H144&gt;0,$H144,IFERROR($E144*$G144,0))))</f>
        <v/>
      </c>
      <c r="J144" s="3" t="n">
        <v>1</v>
      </c>
      <c r="K144" s="11" t="inlineStr">
        <is>
          <t>式</t>
        </is>
      </c>
      <c r="L144" s="3" t="n"/>
      <c r="M144" s="3" t="n">
        <v>2400</v>
      </c>
      <c r="N144" s="3">
        <f>IF($A144="","",IF($S144&lt;&gt;"表示",0,IF($M144&gt;0,$M144,IFERROR($J144*$L144,0))))</f>
        <v/>
      </c>
      <c r="O144" s="3">
        <f>IF($A144="","",$I144-$N144)</f>
        <v/>
      </c>
      <c r="P144" s="17">
        <f>IF($A144="","",IFERROR($O144/$I144,0))</f>
        <v/>
      </c>
      <c r="Q144" s="11" t="n"/>
      <c r="R144" s="11" t="n"/>
      <c r="S144" s="11" t="inlineStr">
        <is>
          <t>表示</t>
        </is>
      </c>
      <c r="T144" s="11" t="n"/>
      <c r="U144" s="11" t="n"/>
      <c r="V144" s="11" t="n"/>
      <c r="W144" s="11" t="n"/>
      <c r="X144" s="11" t="n"/>
      <c r="Y144" s="11" t="n"/>
      <c r="Z144" s="11" t="n"/>
    </row>
    <row r="145" ht="26.75" customHeight="1">
      <c r="A145" s="11" t="n">
        <v>144</v>
      </c>
      <c r="B145" s="11" t="inlineStr">
        <is>
          <t>2F　廊下</t>
        </is>
      </c>
      <c r="C145" s="11" t="inlineStr">
        <is>
          <t>施工</t>
        </is>
      </c>
      <c r="D145" s="11" t="inlineStr">
        <is>
          <t>床　フローリング重ね貼り</t>
        </is>
      </c>
      <c r="E145" s="3" t="n">
        <v>5</v>
      </c>
      <c r="F145" s="11" t="inlineStr">
        <is>
          <t>㎡</t>
        </is>
      </c>
      <c r="G145" s="3" t="n">
        <v>2140</v>
      </c>
      <c r="H145" s="3" t="n"/>
      <c r="I145" s="3">
        <f>IF($A145="","",IF($S145&lt;&gt;"表示",0,IF($H145&gt;0,$H145,IFERROR($E145*$G145,0))))</f>
        <v/>
      </c>
      <c r="J145" s="3" t="n">
        <v>5</v>
      </c>
      <c r="K145" s="11" t="inlineStr">
        <is>
          <t>㎡</t>
        </is>
      </c>
      <c r="L145" s="3" t="n">
        <v>1500</v>
      </c>
      <c r="M145" s="3" t="n"/>
      <c r="N145" s="3">
        <f>IF($A145="","",IF($S145&lt;&gt;"表示",0,IF($M145&gt;0,$M145,IFERROR($J145*$L145,0))))</f>
        <v/>
      </c>
      <c r="O145" s="3">
        <f>IF($A145="","",$I145-$N145)</f>
        <v/>
      </c>
      <c r="P145" s="17">
        <f>IF($A145="","",IFERROR($O145/$I145,0))</f>
        <v/>
      </c>
      <c r="Q145" s="11" t="n"/>
      <c r="R145" s="11" t="n"/>
      <c r="S145" s="11" t="inlineStr">
        <is>
          <t>表示</t>
        </is>
      </c>
      <c r="T145" s="11" t="n"/>
      <c r="U145" s="11" t="n"/>
      <c r="V145" s="11" t="n"/>
      <c r="W145" s="11" t="n"/>
      <c r="X145" s="11" t="n"/>
      <c r="Y145" s="11" t="n"/>
      <c r="Z145" s="11" t="n"/>
    </row>
    <row r="146" ht="26.75" customHeight="1">
      <c r="A146" s="11" t="n">
        <v>145</v>
      </c>
      <c r="B146" s="11" t="inlineStr">
        <is>
          <t>2F　廊下</t>
        </is>
      </c>
      <c r="C146" s="11" t="inlineStr">
        <is>
          <t>施工</t>
        </is>
      </c>
      <c r="D146" s="11" t="inlineStr">
        <is>
          <t>巾木取替え</t>
        </is>
      </c>
      <c r="E146" s="3" t="n">
        <v>9</v>
      </c>
      <c r="F146" s="11" t="inlineStr">
        <is>
          <t>ｍ</t>
        </is>
      </c>
      <c r="G146" s="3" t="n">
        <v>850</v>
      </c>
      <c r="H146" s="3" t="n"/>
      <c r="I146" s="3">
        <f>IF($A146="","",IF($S146&lt;&gt;"表示",0,IF($H146&gt;0,$H146,IFERROR($E146*$G146,0))))</f>
        <v/>
      </c>
      <c r="J146" s="3" t="n">
        <v>9</v>
      </c>
      <c r="K146" s="11" t="inlineStr">
        <is>
          <t>m</t>
        </is>
      </c>
      <c r="L146" s="3" t="n">
        <v>600</v>
      </c>
      <c r="M146" s="3" t="n"/>
      <c r="N146" s="3">
        <f>IF($A146="","",IF($S146&lt;&gt;"表示",0,IF($M146&gt;0,$M146,IFERROR($J146*$L146,0))))</f>
        <v/>
      </c>
      <c r="O146" s="3">
        <f>IF($A146="","",$I146-$N146)</f>
        <v/>
      </c>
      <c r="P146" s="17">
        <f>IF($A146="","",IFERROR($O146/$I146,0))</f>
        <v/>
      </c>
      <c r="Q146" s="11" t="n"/>
      <c r="R146" s="11" t="n"/>
      <c r="S146" s="11" t="inlineStr">
        <is>
          <t>表示</t>
        </is>
      </c>
      <c r="T146" s="11" t="n"/>
      <c r="U146" s="11" t="n"/>
      <c r="V146" s="11" t="n"/>
      <c r="W146" s="11" t="n"/>
      <c r="X146" s="11" t="n"/>
      <c r="Y146" s="11" t="n"/>
      <c r="Z146" s="11" t="n"/>
    </row>
    <row r="147" ht="26.75" customHeight="1">
      <c r="A147" s="11" t="n">
        <v>146</v>
      </c>
      <c r="B147" s="11" t="inlineStr">
        <is>
          <t>2F　廊下</t>
        </is>
      </c>
      <c r="C147" s="11" t="inlineStr">
        <is>
          <t>施工</t>
        </is>
      </c>
      <c r="D147" s="11" t="inlineStr">
        <is>
          <t>天井　ビニールクロス貼替え</t>
        </is>
      </c>
      <c r="E147" s="3" t="n">
        <v>5</v>
      </c>
      <c r="F147" s="11" t="inlineStr">
        <is>
          <t>㎡</t>
        </is>
      </c>
      <c r="G147" s="3" t="n">
        <v>1140</v>
      </c>
      <c r="H147" s="3" t="n"/>
      <c r="I147" s="3">
        <f>IF($A147="","",IF($S147&lt;&gt;"表示",0,IF($H147&gt;0,$H147,IFERROR($E147*$G147,0))))</f>
        <v/>
      </c>
      <c r="J147" s="3" t="n">
        <v>5</v>
      </c>
      <c r="K147" s="11" t="inlineStr">
        <is>
          <t>㎡</t>
        </is>
      </c>
      <c r="L147" s="3" t="n">
        <v>650</v>
      </c>
      <c r="M147" s="3" t="n"/>
      <c r="N147" s="3">
        <f>IF($A147="","",IF($S147&lt;&gt;"表示",0,IF($M147&gt;0,$M147,IFERROR($J147*$L147,0))))</f>
        <v/>
      </c>
      <c r="O147" s="3">
        <f>IF($A147="","",$I147-$N147)</f>
        <v/>
      </c>
      <c r="P147" s="17">
        <f>IF($A147="","",IFERROR($O147/$I147,0))</f>
        <v/>
      </c>
      <c r="Q147" s="11" t="inlineStr">
        <is>
          <t>材工共</t>
        </is>
      </c>
      <c r="R147" s="11" t="inlineStr">
        <is>
          <t>量産品　SP</t>
        </is>
      </c>
      <c r="S147" s="11" t="inlineStr">
        <is>
          <t>表示</t>
        </is>
      </c>
      <c r="T147" s="11" t="n"/>
      <c r="U147" s="11" t="n"/>
      <c r="V147" s="11" t="n"/>
      <c r="W147" s="11" t="n"/>
      <c r="X147" s="11" t="n"/>
      <c r="Y147" s="11" t="n"/>
      <c r="Z147" s="11" t="n"/>
    </row>
    <row r="148" ht="26.75" customHeight="1">
      <c r="A148" s="11" t="n">
        <v>147</v>
      </c>
      <c r="B148" s="11" t="inlineStr">
        <is>
          <t>2F　廊下</t>
        </is>
      </c>
      <c r="C148" s="11" t="inlineStr">
        <is>
          <t>材料</t>
        </is>
      </c>
      <c r="D148" s="11" t="inlineStr">
        <is>
          <t>壁 〃</t>
        </is>
      </c>
      <c r="E148" s="3" t="n">
        <v>19</v>
      </c>
      <c r="F148" s="11" t="inlineStr">
        <is>
          <t>㎡</t>
        </is>
      </c>
      <c r="G148" s="3" t="n">
        <v>1140</v>
      </c>
      <c r="H148" s="3" t="n"/>
      <c r="I148" s="3">
        <f>IF($A148="","",IF($S148&lt;&gt;"表示",0,IF($H148&gt;0,$H148,IFERROR($E148*$G148,0))))</f>
        <v/>
      </c>
      <c r="J148" s="3" t="n">
        <v>19</v>
      </c>
      <c r="K148" s="11" t="inlineStr">
        <is>
          <t>㎡</t>
        </is>
      </c>
      <c r="L148" s="3" t="n">
        <v>650</v>
      </c>
      <c r="M148" s="3" t="n"/>
      <c r="N148" s="3">
        <f>IF($A148="","",IF($S148&lt;&gt;"表示",0,IF($M148&gt;0,$M148,IFERROR($J148*$L148,0))))</f>
        <v/>
      </c>
      <c r="O148" s="3">
        <f>IF($A148="","",$I148-$N148)</f>
        <v/>
      </c>
      <c r="P148" s="17">
        <f>IF($A148="","",IFERROR($O148/$I148,0))</f>
        <v/>
      </c>
      <c r="Q148" s="11" t="inlineStr">
        <is>
          <t>〃</t>
        </is>
      </c>
      <c r="R148" s="11" t="inlineStr">
        <is>
          <t>〃 SP</t>
        </is>
      </c>
      <c r="S148" s="11" t="inlineStr">
        <is>
          <t>表示</t>
        </is>
      </c>
      <c r="T148" s="11" t="n"/>
      <c r="U148" s="11" t="n"/>
      <c r="V148" s="11" t="n"/>
      <c r="W148" s="11" t="n"/>
      <c r="X148" s="11" t="n"/>
      <c r="Y148" s="11" t="n"/>
      <c r="Z148" s="11" t="n"/>
    </row>
    <row r="149" ht="26.75" customHeight="1">
      <c r="A149" s="11" t="n">
        <v>148</v>
      </c>
      <c r="B149" s="11" t="inlineStr">
        <is>
          <t>2F　廊下</t>
        </is>
      </c>
      <c r="C149" s="11" t="inlineStr">
        <is>
          <t>施工</t>
        </is>
      </c>
      <c r="D149" s="11" t="inlineStr">
        <is>
          <t>木枠塗装</t>
        </is>
      </c>
      <c r="E149" s="3" t="n">
        <v>1</v>
      </c>
      <c r="F149" s="11" t="inlineStr">
        <is>
          <t>式</t>
        </is>
      </c>
      <c r="G149" s="3" t="n"/>
      <c r="H149" s="3" t="n">
        <v>4200</v>
      </c>
      <c r="I149" s="3">
        <f>IF($A149="","",IF($S149&lt;&gt;"表示",0,IF($H149&gt;0,$H149,IFERROR($E149*$G149,0))))</f>
        <v/>
      </c>
      <c r="J149" s="3" t="n">
        <v>1</v>
      </c>
      <c r="K149" s="11" t="inlineStr">
        <is>
          <t>式</t>
        </is>
      </c>
      <c r="L149" s="3" t="n"/>
      <c r="M149" s="3" t="n">
        <v>3000</v>
      </c>
      <c r="N149" s="3">
        <f>IF($A149="","",IF($S149&lt;&gt;"表示",0,IF($M149&gt;0,$M149,IFERROR($J149*$L149,0))))</f>
        <v/>
      </c>
      <c r="O149" s="3">
        <f>IF($A149="","",$I149-$N149)</f>
        <v/>
      </c>
      <c r="P149" s="17">
        <f>IF($A149="","",IFERROR($O149/$I149,0))</f>
        <v/>
      </c>
      <c r="Q149" s="11" t="n"/>
      <c r="R149" s="11" t="n"/>
      <c r="S149" s="11" t="inlineStr">
        <is>
          <t>表示</t>
        </is>
      </c>
      <c r="T149" s="11" t="n"/>
      <c r="U149" s="11" t="n"/>
      <c r="V149" s="11" t="n"/>
      <c r="W149" s="11" t="n"/>
      <c r="X149" s="11" t="n"/>
      <c r="Y149" s="11" t="n"/>
      <c r="Z149" s="11" t="n"/>
    </row>
    <row r="150" ht="26.75" customHeight="1">
      <c r="A150" s="11" t="n">
        <v>149</v>
      </c>
      <c r="B150" s="11" t="inlineStr">
        <is>
          <t>2F　廊下</t>
        </is>
      </c>
      <c r="C150" s="11" t="inlineStr">
        <is>
          <t>施工</t>
        </is>
      </c>
      <c r="D150" s="11" t="inlineStr">
        <is>
          <t>プレート取替え</t>
        </is>
      </c>
      <c r="E150" s="3" t="n">
        <v>2</v>
      </c>
      <c r="F150" s="11" t="inlineStr">
        <is>
          <t>セット</t>
        </is>
      </c>
      <c r="G150" s="3" t="n">
        <v>850</v>
      </c>
      <c r="H150" s="3" t="n"/>
      <c r="I150" s="3">
        <f>IF($A150="","",IF($S150&lt;&gt;"表示",0,IF($H150&gt;0,$H150,IFERROR($E150*$G150,0))))</f>
        <v/>
      </c>
      <c r="J150" s="3" t="n">
        <v>2</v>
      </c>
      <c r="K150" s="11" t="inlineStr">
        <is>
          <t>セット</t>
        </is>
      </c>
      <c r="L150" s="3" t="n">
        <v>600</v>
      </c>
      <c r="M150" s="3" t="n"/>
      <c r="N150" s="3">
        <f>IF($A150="","",IF($S150&lt;&gt;"表示",0,IF($M150&gt;0,$M150,IFERROR($J150*$L150,0))))</f>
        <v/>
      </c>
      <c r="O150" s="3">
        <f>IF($A150="","",$I150-$N150)</f>
        <v/>
      </c>
      <c r="P150" s="17">
        <f>IF($A150="","",IFERROR($O150/$I150,0))</f>
        <v/>
      </c>
      <c r="Q150" s="11" t="inlineStr">
        <is>
          <t>材工共</t>
        </is>
      </c>
      <c r="R150" s="11" t="n"/>
      <c r="S150" s="11" t="inlineStr">
        <is>
          <t>表示</t>
        </is>
      </c>
      <c r="T150" s="11" t="n"/>
      <c r="U150" s="11" t="n"/>
      <c r="V150" s="11" t="n"/>
      <c r="W150" s="11" t="n"/>
      <c r="X150" s="11" t="n"/>
      <c r="Y150" s="11" t="n"/>
      <c r="Z150" s="11" t="n"/>
    </row>
    <row r="151" ht="26.75" customHeight="1">
      <c r="A151" s="11" t="n">
        <v>150</v>
      </c>
      <c r="B151" s="11" t="inlineStr">
        <is>
          <t>屋根</t>
        </is>
      </c>
      <c r="C151" s="11" t="inlineStr">
        <is>
          <t>施工</t>
        </is>
      </c>
      <c r="D151" s="11" t="inlineStr">
        <is>
          <t>屋根塗装工事</t>
        </is>
      </c>
      <c r="E151" s="3" t="n">
        <v>80</v>
      </c>
      <c r="F151" s="11" t="inlineStr">
        <is>
          <t>㎡</t>
        </is>
      </c>
      <c r="G151" s="3" t="n">
        <v>3500</v>
      </c>
      <c r="H151" s="3" t="n"/>
      <c r="I151" s="3">
        <f>IF($A151="","",IF($S151&lt;&gt;"表示",0,IF($H151&gt;0,$H151,IFERROR($E151*$G151,0))))</f>
        <v/>
      </c>
      <c r="J151" s="3" t="n">
        <v>80</v>
      </c>
      <c r="K151" s="11" t="inlineStr">
        <is>
          <t>㎡</t>
        </is>
      </c>
      <c r="L151" s="3" t="n">
        <v>2450</v>
      </c>
      <c r="M151" s="3" t="n"/>
      <c r="N151" s="3">
        <f>IF($A151="","",IF($S151&lt;&gt;"表示",0,IF($M151&gt;0,$M151,IFERROR($J151*$L151,0))))</f>
        <v/>
      </c>
      <c r="O151" s="3">
        <f>IF($A151="","",$I151-$N151)</f>
        <v/>
      </c>
      <c r="P151" s="17">
        <f>IF($A151="","",IFERROR($O151/$I151,0))</f>
        <v/>
      </c>
      <c r="Q151" s="11" t="inlineStr">
        <is>
          <t>材工共ザイコトモ</t>
        </is>
      </c>
      <c r="R151" s="11" t="inlineStr">
        <is>
          <t>日本ペイント　ニッペ　水性シリコンベストⅡ同等品ニスイセドウト</t>
        </is>
      </c>
      <c r="S151" s="11" t="inlineStr">
        <is>
          <t>表示</t>
        </is>
      </c>
      <c r="T151" s="11" t="n"/>
      <c r="U151" s="11" t="n"/>
      <c r="V151" s="11" t="n"/>
      <c r="W151" s="11" t="n"/>
      <c r="X151" s="11" t="n"/>
      <c r="Y151" s="11" t="n"/>
      <c r="Z151" s="11" t="n"/>
    </row>
    <row r="152" ht="26.75" customHeight="1">
      <c r="A152" s="11" t="n">
        <v>151</v>
      </c>
      <c r="B152" s="11" t="inlineStr">
        <is>
          <t>屋根</t>
        </is>
      </c>
      <c r="C152" s="11" t="inlineStr">
        <is>
          <t>施工</t>
        </is>
      </c>
      <c r="D152" s="11" t="inlineStr">
        <is>
          <t>（高圧洗浄、プライマー処理、屋根塗装）</t>
        </is>
      </c>
      <c r="E152" s="3" t="n"/>
      <c r="F152" s="11" t="n"/>
      <c r="G152" s="3" t="n"/>
      <c r="H152" s="3" t="n"/>
      <c r="I152" s="3">
        <f>IF($A152="","",IF($S152&lt;&gt;"表示",0,IF($H152&gt;0,$H152,IFERROR($E152*$G152,0))))</f>
        <v/>
      </c>
      <c r="J152" s="3" t="n"/>
      <c r="K152" s="11" t="inlineStr">
        <is>
          <t>m</t>
        </is>
      </c>
      <c r="L152" s="3" t="n"/>
      <c r="M152" s="3" t="n"/>
      <c r="N152" s="3">
        <f>IF($A152="","",IF($S152&lt;&gt;"表示",0,IF($M152&gt;0,$M152,IFERROR($J152*$L152,0))))</f>
        <v/>
      </c>
      <c r="O152" s="3">
        <f>IF($A152="","",$I152-$N152)</f>
        <v/>
      </c>
      <c r="P152" s="17">
        <f>IF($A152="","",IFERROR($O152/$I152,0))</f>
        <v/>
      </c>
      <c r="Q152" s="11" t="n"/>
      <c r="R152" s="11" t="n"/>
      <c r="S152" s="11" t="inlineStr">
        <is>
          <t>表示</t>
        </is>
      </c>
      <c r="T152" s="11" t="n"/>
      <c r="U152" s="11" t="n"/>
      <c r="V152" s="11" t="n"/>
      <c r="W152" s="11" t="n"/>
      <c r="X152" s="11" t="n"/>
      <c r="Y152" s="11" t="n"/>
      <c r="Z152" s="11" t="n"/>
    </row>
    <row r="153" ht="26.75" customHeight="1">
      <c r="A153" s="11" t="n">
        <v>152</v>
      </c>
      <c r="B153" s="11" t="inlineStr">
        <is>
          <t>外壁</t>
        </is>
      </c>
      <c r="C153" s="11" t="inlineStr">
        <is>
          <t>施工</t>
        </is>
      </c>
      <c r="D153" s="11" t="inlineStr">
        <is>
          <t>仮設工事　仮設足場組み</t>
        </is>
      </c>
      <c r="E153" s="3" t="n">
        <v>220</v>
      </c>
      <c r="F153" s="11" t="inlineStr">
        <is>
          <t>㎡</t>
        </is>
      </c>
      <c r="G153" s="3" t="n">
        <v>1140</v>
      </c>
      <c r="H153" s="3" t="n"/>
      <c r="I153" s="3">
        <f>IF($A153="","",IF($S153&lt;&gt;"表示",0,IF($H153&gt;0,$H153,IFERROR($E153*$G153,0))))</f>
        <v/>
      </c>
      <c r="J153" s="3" t="n">
        <v>220</v>
      </c>
      <c r="K153" s="11" t="inlineStr">
        <is>
          <t>㎡</t>
        </is>
      </c>
      <c r="L153" s="3" t="n">
        <v>700</v>
      </c>
      <c r="M153" s="3" t="n"/>
      <c r="N153" s="3">
        <f>IF($A153="","",IF($S153&lt;&gt;"表示",0,IF($M153&gt;0,$M153,IFERROR($J153*$L153,0))))</f>
        <v/>
      </c>
      <c r="O153" s="3">
        <f>IF($A153="","",$I153-$N153)</f>
        <v/>
      </c>
      <c r="P153" s="17">
        <f>IF($A153="","",IFERROR($O153/$I153,0))</f>
        <v/>
      </c>
      <c r="Q153" s="11" t="inlineStr">
        <is>
          <t>材工共</t>
        </is>
      </c>
      <c r="R153" s="11" t="inlineStr">
        <is>
          <t>メッシュシート含む</t>
        </is>
      </c>
      <c r="S153" s="11" t="inlineStr">
        <is>
          <t>表示</t>
        </is>
      </c>
      <c r="T153" s="11" t="n"/>
      <c r="U153" s="11" t="n"/>
      <c r="V153" s="11" t="n"/>
      <c r="W153" s="11" t="n"/>
      <c r="X153" s="11" t="n"/>
      <c r="Y153" s="11" t="n"/>
      <c r="Z153" s="11" t="n"/>
    </row>
    <row r="154" ht="26.75" customHeight="1">
      <c r="A154" s="11" t="n">
        <v>153</v>
      </c>
      <c r="B154" s="11" t="inlineStr">
        <is>
          <t>外壁</t>
        </is>
      </c>
      <c r="C154" s="11" t="inlineStr">
        <is>
          <t>施工</t>
        </is>
      </c>
      <c r="D154" s="11" t="inlineStr">
        <is>
          <t>塗装工事　外部壁面塗装</t>
        </is>
      </c>
      <c r="E154" s="3" t="n">
        <v>165</v>
      </c>
      <c r="F154" s="11" t="inlineStr">
        <is>
          <t>㎡</t>
        </is>
      </c>
      <c r="G154" s="3" t="n">
        <v>2570</v>
      </c>
      <c r="H154" s="3" t="n"/>
      <c r="I154" s="3">
        <f>IF($A154="","",IF($S154&lt;&gt;"表示",0,IF($H154&gt;0,$H154,IFERROR($E154*$G154,0))))</f>
        <v/>
      </c>
      <c r="J154" s="3" t="n">
        <v>165</v>
      </c>
      <c r="K154" s="11" t="inlineStr">
        <is>
          <t>㎡</t>
        </is>
      </c>
      <c r="L154" s="3" t="n">
        <v>1800</v>
      </c>
      <c r="M154" s="3" t="n"/>
      <c r="N154" s="3">
        <f>IF($A154="","",IF($S154&lt;&gt;"表示",0,IF($M154&gt;0,$M154,IFERROR($J154*$L154,0))))</f>
        <v/>
      </c>
      <c r="O154" s="3">
        <f>IF($A154="","",$I154-$N154)</f>
        <v/>
      </c>
      <c r="P154" s="17">
        <f>IF($A154="","",IFERROR($O154/$I154,0))</f>
        <v/>
      </c>
      <c r="Q154" s="11" t="inlineStr">
        <is>
          <t>〃</t>
        </is>
      </c>
      <c r="R154" s="11" t="inlineStr">
        <is>
          <t>日本ペイント　ニッペ　DANシリコンセラ同等品</t>
        </is>
      </c>
      <c r="S154" s="11" t="inlineStr">
        <is>
          <t>表示</t>
        </is>
      </c>
      <c r="T154" s="11" t="n"/>
      <c r="U154" s="11" t="n"/>
      <c r="V154" s="11" t="n"/>
      <c r="W154" s="11" t="n"/>
      <c r="X154" s="11" t="n"/>
      <c r="Y154" s="11" t="n"/>
      <c r="Z154" s="11" t="n"/>
    </row>
    <row r="155" ht="26.75" customHeight="1">
      <c r="A155" s="11" t="n">
        <v>154</v>
      </c>
      <c r="B155" s="11" t="inlineStr">
        <is>
          <t>外壁</t>
        </is>
      </c>
      <c r="C155" s="11" t="inlineStr">
        <is>
          <t>施工</t>
        </is>
      </c>
      <c r="D155" s="11" t="inlineStr">
        <is>
          <t>（高圧洗浄、プライマー処理、シリコン系単層弾性塗装工事）</t>
        </is>
      </c>
      <c r="E155" s="3" t="n"/>
      <c r="F155" s="11" t="n"/>
      <c r="G155" s="3" t="n"/>
      <c r="H155" s="3" t="n"/>
      <c r="I155" s="3">
        <f>IF($A155="","",IF($S155&lt;&gt;"表示",0,IF($H155&gt;0,$H155,IFERROR($E155*$G155,0))))</f>
        <v/>
      </c>
      <c r="J155" s="3" t="n"/>
      <c r="K155" s="11" t="n"/>
      <c r="L155" s="3" t="n"/>
      <c r="M155" s="3" t="n"/>
      <c r="N155" s="3">
        <f>IF($A155="","",IF($S155&lt;&gt;"表示",0,IF($M155&gt;0,$M155,IFERROR($J155*$L155,0))))</f>
        <v/>
      </c>
      <c r="O155" s="3">
        <f>IF($A155="","",$I155-$N155)</f>
        <v/>
      </c>
      <c r="P155" s="17">
        <f>IF($A155="","",IFERROR($O155/$I155,0))</f>
        <v/>
      </c>
      <c r="Q155" s="11" t="n"/>
      <c r="R155" s="11" t="n"/>
      <c r="S155" s="11" t="inlineStr">
        <is>
          <t>表示</t>
        </is>
      </c>
      <c r="T155" s="11" t="n"/>
      <c r="U155" s="11" t="n"/>
      <c r="V155" s="11" t="n"/>
      <c r="W155" s="11" t="n"/>
      <c r="X155" s="11" t="n"/>
      <c r="Y155" s="11" t="n"/>
      <c r="Z155" s="11" t="n"/>
    </row>
    <row r="156" ht="26.75" customHeight="1">
      <c r="A156" s="11" t="n">
        <v>155</v>
      </c>
      <c r="B156" s="11" t="inlineStr">
        <is>
          <t>外壁</t>
        </is>
      </c>
      <c r="C156" s="11" t="inlineStr">
        <is>
          <t>施工</t>
        </is>
      </c>
      <c r="D156" s="11" t="inlineStr">
        <is>
          <t>〃 外部木部塗装</t>
        </is>
      </c>
      <c r="E156" s="3" t="n">
        <v>30</v>
      </c>
      <c r="F156" s="11" t="inlineStr">
        <is>
          <t>坪</t>
        </is>
      </c>
      <c r="G156" s="3" t="n">
        <v>3710</v>
      </c>
      <c r="H156" s="3" t="n"/>
      <c r="I156" s="3">
        <f>IF($A156="","",IF($S156&lt;&gt;"表示",0,IF($H156&gt;0,$H156,IFERROR($E156*$G156,0))))</f>
        <v/>
      </c>
      <c r="J156" s="3" t="n">
        <v>30</v>
      </c>
      <c r="K156" s="11" t="inlineStr">
        <is>
          <t>坪</t>
        </is>
      </c>
      <c r="L156" s="3" t="n">
        <v>2600</v>
      </c>
      <c r="M156" s="3" t="n"/>
      <c r="N156" s="3">
        <f>IF($A156="","",IF($S156&lt;&gt;"表示",0,IF($M156&gt;0,$M156,IFERROR($J156*$L156,0))))</f>
        <v/>
      </c>
      <c r="O156" s="3">
        <f>IF($A156="","",$I156-$N156)</f>
        <v/>
      </c>
      <c r="P156" s="17">
        <f>IF($A156="","",IFERROR($O156/$I156,0))</f>
        <v/>
      </c>
      <c r="Q156" s="11" t="inlineStr">
        <is>
          <t>材工共</t>
        </is>
      </c>
      <c r="R156" s="11" t="inlineStr">
        <is>
          <t>雨戸は別途</t>
        </is>
      </c>
      <c r="S156" s="11" t="inlineStr">
        <is>
          <t>表示</t>
        </is>
      </c>
      <c r="T156" s="11" t="n"/>
      <c r="U156" s="11" t="n"/>
      <c r="V156" s="11" t="n"/>
      <c r="W156" s="11" t="n"/>
      <c r="X156" s="11" t="n"/>
      <c r="Y156" s="11" t="n"/>
      <c r="Z156" s="11" t="n"/>
    </row>
    <row r="157" ht="26.75" customHeight="1">
      <c r="A157" s="11" t="n">
        <v>156</v>
      </c>
      <c r="B157" s="11" t="inlineStr">
        <is>
          <t>外壁</t>
        </is>
      </c>
      <c r="C157" s="11" t="inlineStr">
        <is>
          <t>施工</t>
        </is>
      </c>
      <c r="D157" s="11" t="inlineStr">
        <is>
          <t>〃 軒天塗装</t>
        </is>
      </c>
      <c r="E157" s="3" t="n">
        <v>30</v>
      </c>
      <c r="F157" s="11" t="inlineStr">
        <is>
          <t>㎡</t>
        </is>
      </c>
      <c r="G157" s="3" t="n">
        <v>1280</v>
      </c>
      <c r="H157" s="3" t="n"/>
      <c r="I157" s="3">
        <f>IF($A157="","",IF($S157&lt;&gt;"表示",0,IF($H157&gt;0,$H157,IFERROR($E157*$G157,0))))</f>
        <v/>
      </c>
      <c r="J157" s="3" t="n">
        <v>30</v>
      </c>
      <c r="K157" s="11" t="inlineStr">
        <is>
          <t>㎡</t>
        </is>
      </c>
      <c r="L157" s="3" t="n">
        <v>900</v>
      </c>
      <c r="M157" s="3" t="n"/>
      <c r="N157" s="3">
        <f>IF($A157="","",IF($S157&lt;&gt;"表示",0,IF($M157&gt;0,$M157,IFERROR($J157*$L157,0))))</f>
        <v/>
      </c>
      <c r="O157" s="3">
        <f>IF($A157="","",$I157-$N157)</f>
        <v/>
      </c>
      <c r="P157" s="17">
        <f>IF($A157="","",IFERROR($O157/$I157,0))</f>
        <v/>
      </c>
      <c r="Q157" s="11" t="inlineStr">
        <is>
          <t>〃</t>
        </is>
      </c>
      <c r="R157" s="11" t="n"/>
      <c r="S157" s="11" t="inlineStr">
        <is>
          <t>表示</t>
        </is>
      </c>
      <c r="T157" s="11" t="n"/>
      <c r="U157" s="11" t="n"/>
      <c r="V157" s="11" t="n"/>
      <c r="W157" s="11" t="n"/>
      <c r="X157" s="11" t="n"/>
      <c r="Y157" s="11" t="n"/>
      <c r="Z157" s="11" t="n"/>
    </row>
    <row r="158" ht="26.75" customHeight="1">
      <c r="A158" s="11" t="n">
        <v>157</v>
      </c>
      <c r="B158" s="11" t="n"/>
      <c r="C158" s="11" t="n"/>
      <c r="D158" s="11" t="n"/>
      <c r="E158" s="3" t="n"/>
      <c r="F158" s="11" t="n"/>
      <c r="G158" s="3" t="n"/>
      <c r="H158" s="3" t="n"/>
      <c r="I158" s="3">
        <f>IF($A158="","",IF($S158&lt;&gt;"表示",0,IF($H158&gt;0,$H158,IFERROR($E158*$G158,0))))</f>
        <v/>
      </c>
      <c r="J158" s="3" t="n"/>
      <c r="K158" s="11" t="n"/>
      <c r="L158" s="3" t="n"/>
      <c r="M158" s="3" t="n"/>
      <c r="N158" s="3">
        <f>IF($A158="","",IF($S158&lt;&gt;"表示",0,IF($M158&gt;0,$M158,IFERROR($J158*$L158,0))))</f>
        <v/>
      </c>
      <c r="O158" s="3">
        <f>IF($A158="","",$I158-$N158)</f>
        <v/>
      </c>
      <c r="P158" s="3">
        <f>IF($A158="","",IFERROR($O158/$I158,0))</f>
        <v/>
      </c>
      <c r="Q158" s="11" t="n"/>
      <c r="R158" s="11" t="n"/>
      <c r="S158" s="11" t="inlineStr">
        <is>
          <t>表示</t>
        </is>
      </c>
      <c r="T158" s="11" t="n"/>
      <c r="U158" s="11" t="n"/>
      <c r="V158" s="11" t="n"/>
      <c r="W158" s="11" t="n"/>
      <c r="X158" s="11" t="n"/>
      <c r="Y158" s="11" t="n"/>
      <c r="Z158" s="11" t="n"/>
    </row>
    <row r="159" ht="26.75" customHeight="1">
      <c r="A159" s="11" t="n">
        <v>158</v>
      </c>
      <c r="B159" s="11" t="n"/>
      <c r="C159" s="11" t="n"/>
      <c r="D159" s="11" t="n"/>
      <c r="E159" s="3" t="n"/>
      <c r="F159" s="11" t="n"/>
      <c r="G159" s="3" t="n"/>
      <c r="H159" s="3" t="n"/>
      <c r="I159" s="3">
        <f>IF($A159="","",IF($S159&lt;&gt;"表示",0,IF($H159&gt;0,$H159,IFERROR($E159*$G159,0))))</f>
        <v/>
      </c>
      <c r="J159" s="3" t="n"/>
      <c r="K159" s="11" t="n"/>
      <c r="L159" s="3" t="n"/>
      <c r="M159" s="3" t="n"/>
      <c r="N159" s="3">
        <f>IF($A159="","",IF($S159&lt;&gt;"表示",0,IF($M159&gt;0,$M159,IFERROR($J159*$L159,0))))</f>
        <v/>
      </c>
      <c r="O159" s="3">
        <f>IF($A159="","",$I159-$N159)</f>
        <v/>
      </c>
      <c r="P159" s="3">
        <f>IF($A159="","",IFERROR($O159/$I159,0))</f>
        <v/>
      </c>
      <c r="Q159" s="11" t="n"/>
      <c r="R159" s="11" t="n"/>
      <c r="S159" s="11" t="inlineStr">
        <is>
          <t>表示</t>
        </is>
      </c>
      <c r="T159" s="11" t="n"/>
      <c r="U159" s="11" t="n"/>
      <c r="V159" s="11" t="n"/>
      <c r="W159" s="11" t="n"/>
      <c r="X159" s="11" t="n"/>
      <c r="Y159" s="11" t="n"/>
      <c r="Z159" s="11" t="n"/>
    </row>
    <row r="160" ht="26.75" customHeight="1">
      <c r="A160" s="11" t="n">
        <v>159</v>
      </c>
      <c r="B160" s="11" t="n"/>
      <c r="C160" s="11" t="n"/>
      <c r="D160" s="11" t="n"/>
      <c r="E160" s="3" t="n"/>
      <c r="F160" s="11" t="n"/>
      <c r="G160" s="3" t="n"/>
      <c r="H160" s="3" t="n"/>
      <c r="I160" s="3">
        <f>IF($A160="","",IF($S160&lt;&gt;"表示",0,IF($H160&gt;0,$H160,IFERROR($E160*$G160,0))))</f>
        <v/>
      </c>
      <c r="J160" s="3" t="n"/>
      <c r="K160" s="11" t="n"/>
      <c r="L160" s="3" t="n"/>
      <c r="M160" s="3" t="n"/>
      <c r="N160" s="3">
        <f>IF($A160="","",IF($S160&lt;&gt;"表示",0,IF($M160&gt;0,$M160,IFERROR($J160*$L160,0))))</f>
        <v/>
      </c>
      <c r="O160" s="3">
        <f>IF($A160="","",$I160-$N160)</f>
        <v/>
      </c>
      <c r="P160" s="3">
        <f>IF($A160="","",IFERROR($O160/$I160,0))</f>
        <v/>
      </c>
      <c r="Q160" s="11" t="n"/>
      <c r="R160" s="11" t="n"/>
      <c r="S160" s="11" t="inlineStr">
        <is>
          <t>表示</t>
        </is>
      </c>
      <c r="T160" s="11" t="n"/>
      <c r="U160" s="11" t="n"/>
      <c r="V160" s="11" t="n"/>
      <c r="W160" s="11" t="n"/>
      <c r="X160" s="11" t="n"/>
      <c r="Y160" s="11" t="n"/>
      <c r="Z160" s="11" t="n"/>
    </row>
    <row r="161" ht="26.75" customHeight="1">
      <c r="A161" s="11" t="n">
        <v>160</v>
      </c>
      <c r="B161" s="11" t="n"/>
      <c r="C161" s="11" t="n"/>
      <c r="D161" s="11" t="n"/>
      <c r="E161" s="3" t="n"/>
      <c r="F161" s="11" t="n"/>
      <c r="G161" s="3" t="n"/>
      <c r="H161" s="3" t="n"/>
      <c r="I161" s="3">
        <f>IF($A161="","",IF($S161&lt;&gt;"表示",0,IF($H161&gt;0,$H161,IFERROR($E161*$G161,0))))</f>
        <v/>
      </c>
      <c r="J161" s="3" t="n"/>
      <c r="K161" s="11" t="n"/>
      <c r="L161" s="3" t="n"/>
      <c r="M161" s="3" t="n"/>
      <c r="N161" s="3">
        <f>IF($A161="","",IF($S161&lt;&gt;"表示",0,IF($M161&gt;0,$M161,IFERROR($J161*$L161,0))))</f>
        <v/>
      </c>
      <c r="O161" s="3">
        <f>IF($A161="","",$I161-$N161)</f>
        <v/>
      </c>
      <c r="P161" s="3">
        <f>IF($A161="","",IFERROR($O161/$I161,0))</f>
        <v/>
      </c>
      <c r="Q161" s="11" t="n"/>
      <c r="R161" s="11" t="n"/>
      <c r="S161" s="11" t="inlineStr">
        <is>
          <t>表示</t>
        </is>
      </c>
      <c r="T161" s="11" t="n"/>
      <c r="U161" s="11" t="n"/>
      <c r="V161" s="11" t="n"/>
      <c r="W161" s="11" t="n"/>
      <c r="X161" s="11" t="n"/>
      <c r="Y161" s="11" t="n"/>
      <c r="Z161" s="11" t="n"/>
    </row>
    <row r="162" ht="26.75" customHeight="1">
      <c r="A162" s="11" t="n">
        <v>161</v>
      </c>
      <c r="B162" s="11" t="n"/>
      <c r="C162" s="11" t="n"/>
      <c r="D162" s="11" t="n"/>
      <c r="E162" s="3" t="n"/>
      <c r="F162" s="11" t="n"/>
      <c r="G162" s="3" t="n"/>
      <c r="H162" s="3" t="n"/>
      <c r="I162" s="3">
        <f>IF($A162="","",IF($S162&lt;&gt;"表示",0,IF($H162&gt;0,$H162,IFERROR($E162*$G162,0))))</f>
        <v/>
      </c>
      <c r="J162" s="3" t="n"/>
      <c r="K162" s="11" t="n"/>
      <c r="L162" s="3" t="n"/>
      <c r="M162" s="3" t="n"/>
      <c r="N162" s="3">
        <f>IF($A162="","",IF($S162&lt;&gt;"表示",0,IF($M162&gt;0,$M162,IFERROR($J162*$L162,0))))</f>
        <v/>
      </c>
      <c r="O162" s="3">
        <f>IF($A162="","",$I162-$N162)</f>
        <v/>
      </c>
      <c r="P162" s="3">
        <f>IF($A162="","",IFERROR($O162/$I162,0))</f>
        <v/>
      </c>
      <c r="Q162" s="11" t="n"/>
      <c r="R162" s="11" t="n"/>
      <c r="S162" s="11" t="inlineStr">
        <is>
          <t>表示</t>
        </is>
      </c>
      <c r="T162" s="11" t="n"/>
      <c r="U162" s="11" t="n"/>
      <c r="V162" s="11" t="n"/>
      <c r="W162" s="11" t="n"/>
      <c r="X162" s="11" t="n"/>
      <c r="Y162" s="11" t="n"/>
      <c r="Z162" s="11" t="n"/>
    </row>
    <row r="163" ht="26.75" customHeight="1">
      <c r="A163" s="11" t="n">
        <v>162</v>
      </c>
      <c r="B163" s="11" t="n"/>
      <c r="C163" s="11" t="n"/>
      <c r="D163" s="11" t="n"/>
      <c r="E163" s="3" t="n"/>
      <c r="F163" s="11" t="n"/>
      <c r="G163" s="3" t="n"/>
      <c r="H163" s="3" t="n"/>
      <c r="I163" s="3">
        <f>IF($A163="","",IF($S163&lt;&gt;"表示",0,IF($H163&gt;0,$H163,IFERROR($E163*$G163,0))))</f>
        <v/>
      </c>
      <c r="J163" s="3" t="n"/>
      <c r="K163" s="11" t="n"/>
      <c r="L163" s="3" t="n"/>
      <c r="M163" s="3" t="n"/>
      <c r="N163" s="3">
        <f>IF($A163="","",IF($S163&lt;&gt;"表示",0,IF($M163&gt;0,$M163,IFERROR($J163*$L163,0))))</f>
        <v/>
      </c>
      <c r="O163" s="3">
        <f>IF($A163="","",$I163-$N163)</f>
        <v/>
      </c>
      <c r="P163" s="3">
        <f>IF($A163="","",IFERROR($O163/$I163,0))</f>
        <v/>
      </c>
      <c r="Q163" s="11" t="n"/>
      <c r="R163" s="11" t="n"/>
      <c r="S163" s="11" t="inlineStr">
        <is>
          <t>表示</t>
        </is>
      </c>
      <c r="T163" s="11" t="n"/>
      <c r="U163" s="11" t="n"/>
      <c r="V163" s="11" t="n"/>
      <c r="W163" s="11" t="n"/>
      <c r="X163" s="11" t="n"/>
      <c r="Y163" s="11" t="n"/>
      <c r="Z163" s="11" t="n"/>
    </row>
    <row r="164" ht="26.75" customHeight="1">
      <c r="A164" s="11" t="n">
        <v>163</v>
      </c>
      <c r="B164" s="11" t="n"/>
      <c r="C164" s="11" t="n"/>
      <c r="D164" s="11" t="n"/>
      <c r="E164" s="3" t="n"/>
      <c r="F164" s="11" t="n"/>
      <c r="G164" s="3" t="n"/>
      <c r="H164" s="3" t="n"/>
      <c r="I164" s="3">
        <f>IF($A164="","",IF($S164&lt;&gt;"表示",0,IF($H164&gt;0,$H164,IFERROR($E164*$G164,0))))</f>
        <v/>
      </c>
      <c r="J164" s="3" t="n"/>
      <c r="K164" s="11" t="n"/>
      <c r="L164" s="3" t="n"/>
      <c r="M164" s="3" t="n"/>
      <c r="N164" s="3">
        <f>IF($A164="","",IF($S164&lt;&gt;"表示",0,IF($M164&gt;0,$M164,IFERROR($J164*$L164,0))))</f>
        <v/>
      </c>
      <c r="O164" s="3">
        <f>IF($A164="","",$I164-$N164)</f>
        <v/>
      </c>
      <c r="P164" s="3">
        <f>IF($A164="","",IFERROR($O164/$I164,0))</f>
        <v/>
      </c>
      <c r="Q164" s="11" t="n"/>
      <c r="R164" s="11" t="n"/>
      <c r="S164" s="11" t="inlineStr">
        <is>
          <t>表示</t>
        </is>
      </c>
      <c r="T164" s="11" t="n"/>
      <c r="U164" s="11" t="n"/>
      <c r="V164" s="11" t="n"/>
      <c r="W164" s="11" t="n"/>
      <c r="X164" s="11" t="n"/>
      <c r="Y164" s="11" t="n"/>
      <c r="Z164" s="11" t="n"/>
    </row>
    <row r="165" ht="26.75" customHeight="1">
      <c r="A165" s="11" t="n">
        <v>164</v>
      </c>
      <c r="B165" s="11" t="n"/>
      <c r="C165" s="11" t="n"/>
      <c r="D165" s="11" t="n"/>
      <c r="E165" s="3" t="n"/>
      <c r="F165" s="11" t="n"/>
      <c r="G165" s="3" t="n"/>
      <c r="H165" s="3" t="n"/>
      <c r="I165" s="3">
        <f>IF($A165="","",IF($S165&lt;&gt;"表示",0,IF($H165&gt;0,$H165,IFERROR($E165*$G165,0))))</f>
        <v/>
      </c>
      <c r="J165" s="3" t="n"/>
      <c r="K165" s="11" t="n"/>
      <c r="L165" s="3" t="n"/>
      <c r="M165" s="3" t="n"/>
      <c r="N165" s="3">
        <f>IF($A165="","",IF($S165&lt;&gt;"表示",0,IF($M165&gt;0,$M165,IFERROR($J165*$L165,0))))</f>
        <v/>
      </c>
      <c r="O165" s="3">
        <f>IF($A165="","",$I165-$N165)</f>
        <v/>
      </c>
      <c r="P165" s="3">
        <f>IF($A165="","",IFERROR($O165/$I165,0))</f>
        <v/>
      </c>
      <c r="Q165" s="11" t="n"/>
      <c r="R165" s="11" t="n"/>
      <c r="S165" s="11" t="inlineStr">
        <is>
          <t>表示</t>
        </is>
      </c>
      <c r="T165" s="11" t="n"/>
      <c r="U165" s="11" t="n"/>
      <c r="V165" s="11" t="n"/>
      <c r="W165" s="11" t="n"/>
      <c r="X165" s="11" t="n"/>
      <c r="Y165" s="11" t="n"/>
      <c r="Z165" s="11" t="n"/>
    </row>
    <row r="166" ht="26.75" customHeight="1">
      <c r="A166" s="11" t="n">
        <v>165</v>
      </c>
      <c r="B166" s="11" t="n"/>
      <c r="C166" s="11" t="n"/>
      <c r="D166" s="11" t="n"/>
      <c r="E166" s="3" t="n"/>
      <c r="F166" s="11" t="n"/>
      <c r="G166" s="3" t="n"/>
      <c r="H166" s="3" t="n"/>
      <c r="I166" s="3">
        <f>IF($A166="","",IF($S166&lt;&gt;"表示",0,IF($H166&gt;0,$H166,IFERROR($E166*$G166,0))))</f>
        <v/>
      </c>
      <c r="J166" s="3" t="n"/>
      <c r="K166" s="11" t="n"/>
      <c r="L166" s="3" t="n"/>
      <c r="M166" s="3" t="n"/>
      <c r="N166" s="3">
        <f>IF($A166="","",IF($S166&lt;&gt;"表示",0,IF($M166&gt;0,$M166,IFERROR($J166*$L166,0))))</f>
        <v/>
      </c>
      <c r="O166" s="3">
        <f>IF($A166="","",$I166-$N166)</f>
        <v/>
      </c>
      <c r="P166" s="3">
        <f>IF($A166="","",IFERROR($O166/$I166,0))</f>
        <v/>
      </c>
      <c r="Q166" s="11" t="n"/>
      <c r="R166" s="11" t="n"/>
      <c r="S166" s="11" t="inlineStr">
        <is>
          <t>表示</t>
        </is>
      </c>
      <c r="T166" s="11" t="n"/>
      <c r="U166" s="11" t="n"/>
      <c r="V166" s="11" t="n"/>
      <c r="W166" s="11" t="n"/>
      <c r="X166" s="11" t="n"/>
      <c r="Y166" s="11" t="n"/>
      <c r="Z166" s="11" t="n"/>
    </row>
    <row r="167" ht="26.75" customHeight="1">
      <c r="A167" s="11" t="n">
        <v>166</v>
      </c>
      <c r="B167" s="11" t="n"/>
      <c r="C167" s="11" t="n"/>
      <c r="D167" s="11" t="n"/>
      <c r="E167" s="3" t="n"/>
      <c r="F167" s="11" t="n"/>
      <c r="G167" s="3" t="n"/>
      <c r="H167" s="3" t="n"/>
      <c r="I167" s="3">
        <f>IF($A167="","",IF($S167&lt;&gt;"表示",0,IF($H167&gt;0,$H167,IFERROR($E167*$G167,0))))</f>
        <v/>
      </c>
      <c r="J167" s="3" t="n"/>
      <c r="K167" s="11" t="n"/>
      <c r="L167" s="3" t="n"/>
      <c r="M167" s="3" t="n"/>
      <c r="N167" s="3">
        <f>IF($A167="","",IF($S167&lt;&gt;"表示",0,IF($M167&gt;0,$M167,IFERROR($J167*$L167,0))))</f>
        <v/>
      </c>
      <c r="O167" s="3">
        <f>IF($A167="","",$I167-$N167)</f>
        <v/>
      </c>
      <c r="P167" s="3">
        <f>IF($A167="","",IFERROR($O167/$I167,0))</f>
        <v/>
      </c>
      <c r="Q167" s="11" t="n"/>
      <c r="R167" s="11" t="n"/>
      <c r="S167" s="11" t="inlineStr">
        <is>
          <t>表示</t>
        </is>
      </c>
      <c r="T167" s="11" t="n"/>
      <c r="U167" s="11" t="n"/>
      <c r="V167" s="11" t="n"/>
      <c r="W167" s="11" t="n"/>
      <c r="X167" s="11" t="n"/>
      <c r="Y167" s="11" t="n"/>
      <c r="Z167" s="11" t="n"/>
    </row>
    <row r="168" ht="26.75" customHeight="1">
      <c r="A168" s="11" t="n">
        <v>167</v>
      </c>
      <c r="B168" s="11" t="n"/>
      <c r="C168" s="11" t="n"/>
      <c r="D168" s="11" t="n"/>
      <c r="E168" s="3" t="n"/>
      <c r="F168" s="11" t="n"/>
      <c r="G168" s="3" t="n"/>
      <c r="H168" s="3" t="n"/>
      <c r="I168" s="3">
        <f>IF($A168="","",IF($S168&lt;&gt;"表示",0,IF($H168&gt;0,$H168,IFERROR($E168*$G168,0))))</f>
        <v/>
      </c>
      <c r="J168" s="3" t="n"/>
      <c r="K168" s="11" t="n"/>
      <c r="L168" s="3" t="n"/>
      <c r="M168" s="3" t="n"/>
      <c r="N168" s="3">
        <f>IF($A168="","",IF($S168&lt;&gt;"表示",0,IF($M168&gt;0,$M168,IFERROR($J168*$L168,0))))</f>
        <v/>
      </c>
      <c r="O168" s="3">
        <f>IF($A168="","",$I168-$N168)</f>
        <v/>
      </c>
      <c r="P168" s="3">
        <f>IF($A168="","",IFERROR($O168/$I168,0))</f>
        <v/>
      </c>
      <c r="Q168" s="11" t="n"/>
      <c r="R168" s="11" t="n"/>
      <c r="S168" s="11" t="inlineStr">
        <is>
          <t>表示</t>
        </is>
      </c>
      <c r="T168" s="11" t="n"/>
      <c r="U168" s="11" t="n"/>
      <c r="V168" s="11" t="n"/>
      <c r="W168" s="11" t="n"/>
      <c r="X168" s="11" t="n"/>
      <c r="Y168" s="11" t="n"/>
      <c r="Z168" s="11" t="n"/>
    </row>
    <row r="169" ht="26.75" customHeight="1">
      <c r="A169" s="11" t="n">
        <v>168</v>
      </c>
      <c r="B169" s="11" t="n"/>
      <c r="C169" s="11" t="n"/>
      <c r="D169" s="11" t="n"/>
      <c r="E169" s="3" t="n"/>
      <c r="F169" s="11" t="n"/>
      <c r="G169" s="3" t="n"/>
      <c r="H169" s="3" t="n"/>
      <c r="I169" s="3">
        <f>IF($A169="","",IF($S169&lt;&gt;"表示",0,IF($H169&gt;0,$H169,IFERROR($E169*$G169,0))))</f>
        <v/>
      </c>
      <c r="J169" s="3" t="n"/>
      <c r="K169" s="11" t="n"/>
      <c r="L169" s="3" t="n"/>
      <c r="M169" s="3" t="n"/>
      <c r="N169" s="3">
        <f>IF($A169="","",IF($S169&lt;&gt;"表示",0,IF($M169&gt;0,$M169,IFERROR($J169*$L169,0))))</f>
        <v/>
      </c>
      <c r="O169" s="3">
        <f>IF($A169="","",$I169-$N169)</f>
        <v/>
      </c>
      <c r="P169" s="3">
        <f>IF($A169="","",IFERROR($O169/$I169,0))</f>
        <v/>
      </c>
      <c r="Q169" s="11" t="n"/>
      <c r="R169" s="11" t="n"/>
      <c r="S169" s="11" t="inlineStr">
        <is>
          <t>表示</t>
        </is>
      </c>
      <c r="T169" s="11" t="n"/>
      <c r="U169" s="11" t="n"/>
      <c r="V169" s="11" t="n"/>
      <c r="W169" s="11" t="n"/>
      <c r="X169" s="11" t="n"/>
      <c r="Y169" s="11" t="n"/>
      <c r="Z169" s="11" t="n"/>
    </row>
    <row r="170" ht="26.75" customHeight="1">
      <c r="A170" s="11" t="n">
        <v>169</v>
      </c>
      <c r="B170" s="11" t="n"/>
      <c r="C170" s="11" t="n"/>
      <c r="D170" s="11" t="n"/>
      <c r="E170" s="3" t="n"/>
      <c r="F170" s="11" t="n"/>
      <c r="G170" s="3" t="n"/>
      <c r="H170" s="3" t="n"/>
      <c r="I170" s="3">
        <f>IF($A170="","",IF($S170&lt;&gt;"表示",0,IF($H170&gt;0,$H170,IFERROR($E170*$G170,0))))</f>
        <v/>
      </c>
      <c r="J170" s="3" t="n"/>
      <c r="K170" s="11" t="n"/>
      <c r="L170" s="3" t="n"/>
      <c r="M170" s="3" t="n"/>
      <c r="N170" s="3">
        <f>IF($A170="","",IF($S170&lt;&gt;"表示",0,IF($M170&gt;0,$M170,IFERROR($J170*$L170,0))))</f>
        <v/>
      </c>
      <c r="O170" s="3">
        <f>IF($A170="","",$I170-$N170)</f>
        <v/>
      </c>
      <c r="P170" s="3">
        <f>IF($A170="","",IFERROR($O170/$I170,0))</f>
        <v/>
      </c>
      <c r="Q170" s="11" t="n"/>
      <c r="R170" s="11" t="n"/>
      <c r="S170" s="11" t="inlineStr">
        <is>
          <t>表示</t>
        </is>
      </c>
      <c r="T170" s="11" t="n"/>
      <c r="U170" s="11" t="n"/>
      <c r="V170" s="11" t="n"/>
      <c r="W170" s="11" t="n"/>
      <c r="X170" s="11" t="n"/>
      <c r="Y170" s="11" t="n"/>
      <c r="Z170" s="11" t="n"/>
    </row>
    <row r="171" ht="26.75" customHeight="1">
      <c r="A171" s="11" t="n">
        <v>170</v>
      </c>
      <c r="B171" s="11" t="n"/>
      <c r="C171" s="11" t="n"/>
      <c r="D171" s="11" t="n"/>
      <c r="E171" s="3" t="n"/>
      <c r="F171" s="11" t="n"/>
      <c r="G171" s="3" t="n"/>
      <c r="H171" s="3" t="n"/>
      <c r="I171" s="3">
        <f>IF($A171="","",IF($S171&lt;&gt;"表示",0,IF($H171&gt;0,$H171,IFERROR($E171*$G171,0))))</f>
        <v/>
      </c>
      <c r="J171" s="3" t="n"/>
      <c r="K171" s="11" t="n"/>
      <c r="L171" s="3" t="n"/>
      <c r="M171" s="3" t="n"/>
      <c r="N171" s="3">
        <f>IF($A171="","",IF($S171&lt;&gt;"表示",0,IF($M171&gt;0,$M171,IFERROR($J171*$L171,0))))</f>
        <v/>
      </c>
      <c r="O171" s="3">
        <f>IF($A171="","",$I171-$N171)</f>
        <v/>
      </c>
      <c r="P171" s="3">
        <f>IF($A171="","",IFERROR($O171/$I171,0))</f>
        <v/>
      </c>
      <c r="Q171" s="11" t="n"/>
      <c r="R171" s="11" t="n"/>
      <c r="S171" s="11" t="inlineStr">
        <is>
          <t>表示</t>
        </is>
      </c>
      <c r="T171" s="11" t="n"/>
      <c r="U171" s="11" t="n"/>
      <c r="V171" s="11" t="n"/>
      <c r="W171" s="11" t="n"/>
      <c r="X171" s="11" t="n"/>
      <c r="Y171" s="11" t="n"/>
      <c r="Z171" s="11" t="n"/>
    </row>
    <row r="172" ht="26.75" customHeight="1">
      <c r="A172" s="11" t="n">
        <v>171</v>
      </c>
      <c r="B172" s="11" t="n"/>
      <c r="C172" s="11" t="n"/>
      <c r="D172" s="11" t="n"/>
      <c r="E172" s="3" t="n"/>
      <c r="F172" s="11" t="n"/>
      <c r="G172" s="3" t="n"/>
      <c r="H172" s="3" t="n"/>
      <c r="I172" s="3">
        <f>IF($A172="","",IF($S172&lt;&gt;"表示",0,IF($H172&gt;0,$H172,IFERROR($E172*$G172,0))))</f>
        <v/>
      </c>
      <c r="J172" s="3" t="n"/>
      <c r="K172" s="11" t="n"/>
      <c r="L172" s="3" t="n"/>
      <c r="M172" s="3" t="n"/>
      <c r="N172" s="3">
        <f>IF($A172="","",IF($S172&lt;&gt;"表示",0,IF($M172&gt;0,$M172,IFERROR($J172*$L172,0))))</f>
        <v/>
      </c>
      <c r="O172" s="3">
        <f>IF($A172="","",$I172-$N172)</f>
        <v/>
      </c>
      <c r="P172" s="3">
        <f>IF($A172="","",IFERROR($O172/$I172,0))</f>
        <v/>
      </c>
      <c r="Q172" s="11" t="n"/>
      <c r="R172" s="11" t="n"/>
      <c r="S172" s="11" t="inlineStr">
        <is>
          <t>表示</t>
        </is>
      </c>
      <c r="T172" s="11" t="n"/>
      <c r="U172" s="11" t="n"/>
      <c r="V172" s="11" t="n"/>
      <c r="W172" s="11" t="n"/>
      <c r="X172" s="11" t="n"/>
      <c r="Y172" s="11" t="n"/>
      <c r="Z172" s="11" t="n"/>
    </row>
    <row r="173" ht="26.75" customHeight="1">
      <c r="A173" s="11" t="n">
        <v>172</v>
      </c>
      <c r="B173" s="11" t="n"/>
      <c r="C173" s="11" t="n"/>
      <c r="D173" s="11" t="n"/>
      <c r="E173" s="3" t="n"/>
      <c r="F173" s="11" t="n"/>
      <c r="G173" s="3" t="n"/>
      <c r="H173" s="3" t="n"/>
      <c r="I173" s="3">
        <f>IF($A173="","",IF($S173&lt;&gt;"表示",0,IF($H173&gt;0,$H173,IFERROR($E173*$G173,0))))</f>
        <v/>
      </c>
      <c r="J173" s="3" t="n"/>
      <c r="K173" s="11" t="n"/>
      <c r="L173" s="3" t="n"/>
      <c r="M173" s="3" t="n"/>
      <c r="N173" s="3">
        <f>IF($A173="","",IF($S173&lt;&gt;"表示",0,IF($M173&gt;0,$M173,IFERROR($J173*$L173,0))))</f>
        <v/>
      </c>
      <c r="O173" s="3">
        <f>IF($A173="","",$I173-$N173)</f>
        <v/>
      </c>
      <c r="P173" s="3">
        <f>IF($A173="","",IFERROR($O173/$I173,0))</f>
        <v/>
      </c>
      <c r="Q173" s="11" t="n"/>
      <c r="R173" s="11" t="n"/>
      <c r="S173" s="11" t="inlineStr">
        <is>
          <t>表示</t>
        </is>
      </c>
      <c r="T173" s="11" t="n"/>
      <c r="U173" s="11" t="n"/>
      <c r="V173" s="11" t="n"/>
      <c r="W173" s="11" t="n"/>
      <c r="X173" s="11" t="n"/>
      <c r="Y173" s="11" t="n"/>
      <c r="Z173" s="11" t="n"/>
    </row>
    <row r="174" ht="26.75" customHeight="1">
      <c r="A174" s="11" t="n">
        <v>173</v>
      </c>
      <c r="B174" s="11" t="n"/>
      <c r="C174" s="11" t="n"/>
      <c r="D174" s="11" t="n"/>
      <c r="E174" s="3" t="n"/>
      <c r="F174" s="11" t="n"/>
      <c r="G174" s="3" t="n"/>
      <c r="H174" s="3" t="n"/>
      <c r="I174" s="3">
        <f>IF($A174="","",IF($S174&lt;&gt;"表示",0,IF($H174&gt;0,$H174,IFERROR($E174*$G174,0))))</f>
        <v/>
      </c>
      <c r="J174" s="3" t="n"/>
      <c r="K174" s="11" t="n"/>
      <c r="L174" s="3" t="n"/>
      <c r="M174" s="3" t="n"/>
      <c r="N174" s="3">
        <f>IF($A174="","",IF($S174&lt;&gt;"表示",0,IF($M174&gt;0,$M174,IFERROR($J174*$L174,0))))</f>
        <v/>
      </c>
      <c r="O174" s="3">
        <f>IF($A174="","",$I174-$N174)</f>
        <v/>
      </c>
      <c r="P174" s="3">
        <f>IF($A174="","",IFERROR($O174/$I174,0))</f>
        <v/>
      </c>
      <c r="Q174" s="11" t="n"/>
      <c r="R174" s="11" t="n"/>
      <c r="S174" s="11" t="inlineStr">
        <is>
          <t>表示</t>
        </is>
      </c>
      <c r="T174" s="11" t="n"/>
      <c r="U174" s="11" t="n"/>
      <c r="V174" s="11" t="n"/>
      <c r="W174" s="11" t="n"/>
      <c r="X174" s="11" t="n"/>
      <c r="Y174" s="11" t="n"/>
      <c r="Z174" s="11" t="n"/>
    </row>
    <row r="175" ht="26.75" customHeight="1">
      <c r="A175" s="11" t="n">
        <v>174</v>
      </c>
      <c r="B175" s="11" t="n"/>
      <c r="C175" s="11" t="n"/>
      <c r="D175" s="11" t="n"/>
      <c r="E175" s="3" t="n"/>
      <c r="F175" s="11" t="n"/>
      <c r="G175" s="3" t="n"/>
      <c r="H175" s="3" t="n"/>
      <c r="I175" s="3">
        <f>IF($A175="","",IF($S175&lt;&gt;"表示",0,IF($H175&gt;0,$H175,IFERROR($E175*$G175,0))))</f>
        <v/>
      </c>
      <c r="J175" s="3" t="n"/>
      <c r="K175" s="11" t="n"/>
      <c r="L175" s="3" t="n"/>
      <c r="M175" s="3" t="n"/>
      <c r="N175" s="3">
        <f>IF($A175="","",IF($S175&lt;&gt;"表示",0,IF($M175&gt;0,$M175,IFERROR($J175*$L175,0))))</f>
        <v/>
      </c>
      <c r="O175" s="3">
        <f>IF($A175="","",$I175-$N175)</f>
        <v/>
      </c>
      <c r="P175" s="3">
        <f>IF($A175="","",IFERROR($O175/$I175,0))</f>
        <v/>
      </c>
      <c r="Q175" s="11" t="n"/>
      <c r="R175" s="11" t="n"/>
      <c r="S175" s="11" t="inlineStr">
        <is>
          <t>表示</t>
        </is>
      </c>
      <c r="T175" s="11" t="n"/>
      <c r="U175" s="11" t="n"/>
      <c r="V175" s="11" t="n"/>
      <c r="W175" s="11" t="n"/>
      <c r="X175" s="11" t="n"/>
      <c r="Y175" s="11" t="n"/>
      <c r="Z175" s="11" t="n"/>
    </row>
    <row r="176" ht="26.75" customHeight="1">
      <c r="A176" s="11" t="n">
        <v>175</v>
      </c>
      <c r="B176" s="11" t="n"/>
      <c r="C176" s="11" t="n"/>
      <c r="D176" s="11" t="n"/>
      <c r="E176" s="3" t="n"/>
      <c r="F176" s="11" t="n"/>
      <c r="G176" s="3" t="n"/>
      <c r="H176" s="3" t="n"/>
      <c r="I176" s="3">
        <f>IF($A176="","",IF($S176&lt;&gt;"表示",0,IF($H176&gt;0,$H176,IFERROR($E176*$G176,0))))</f>
        <v/>
      </c>
      <c r="J176" s="3" t="n"/>
      <c r="K176" s="11" t="n"/>
      <c r="L176" s="3" t="n"/>
      <c r="M176" s="3" t="n"/>
      <c r="N176" s="3">
        <f>IF($A176="","",IF($S176&lt;&gt;"表示",0,IF($M176&gt;0,$M176,IFERROR($J176*$L176,0))))</f>
        <v/>
      </c>
      <c r="O176" s="3">
        <f>IF($A176="","",$I176-$N176)</f>
        <v/>
      </c>
      <c r="P176" s="3">
        <f>IF($A176="","",IFERROR($O176/$I176,0))</f>
        <v/>
      </c>
      <c r="Q176" s="11" t="n"/>
      <c r="R176" s="11" t="n"/>
      <c r="S176" s="11" t="inlineStr">
        <is>
          <t>表示</t>
        </is>
      </c>
      <c r="T176" s="11" t="n"/>
      <c r="U176" s="11" t="n"/>
      <c r="V176" s="11" t="n"/>
      <c r="W176" s="11" t="n"/>
      <c r="X176" s="11" t="n"/>
      <c r="Y176" s="11" t="n"/>
      <c r="Z176" s="11" t="n"/>
    </row>
    <row r="177" ht="26.75" customHeight="1">
      <c r="A177" s="11" t="n">
        <v>176</v>
      </c>
      <c r="B177" s="11" t="n"/>
      <c r="C177" s="11" t="n"/>
      <c r="D177" s="11" t="n"/>
      <c r="E177" s="3" t="n"/>
      <c r="F177" s="11" t="n"/>
      <c r="G177" s="3" t="n"/>
      <c r="H177" s="3" t="n"/>
      <c r="I177" s="3">
        <f>IF($A177="","",IF($S177&lt;&gt;"表示",0,IF($H177&gt;0,$H177,IFERROR($E177*$G177,0))))</f>
        <v/>
      </c>
      <c r="J177" s="3" t="n"/>
      <c r="K177" s="11" t="n"/>
      <c r="L177" s="3" t="n"/>
      <c r="M177" s="3" t="n"/>
      <c r="N177" s="3">
        <f>IF($A177="","",IF($S177&lt;&gt;"表示",0,IF($M177&gt;0,$M177,IFERROR($J177*$L177,0))))</f>
        <v/>
      </c>
      <c r="O177" s="3">
        <f>IF($A177="","",$I177-$N177)</f>
        <v/>
      </c>
      <c r="P177" s="3">
        <f>IF($A177="","",IFERROR($O177/$I177,0))</f>
        <v/>
      </c>
      <c r="Q177" s="11" t="n"/>
      <c r="R177" s="11" t="n"/>
      <c r="S177" s="11" t="inlineStr">
        <is>
          <t>表示</t>
        </is>
      </c>
      <c r="T177" s="11" t="n"/>
      <c r="U177" s="11" t="n"/>
      <c r="V177" s="11" t="n"/>
      <c r="W177" s="11" t="n"/>
      <c r="X177" s="11" t="n"/>
      <c r="Y177" s="11" t="n"/>
      <c r="Z177" s="11" t="n"/>
    </row>
    <row r="178" ht="26.75" customHeight="1">
      <c r="A178" s="11" t="n">
        <v>177</v>
      </c>
      <c r="B178" s="11" t="n"/>
      <c r="C178" s="11" t="n"/>
      <c r="D178" s="11" t="n"/>
      <c r="E178" s="3" t="n"/>
      <c r="F178" s="11" t="n"/>
      <c r="G178" s="3" t="n"/>
      <c r="H178" s="3" t="n"/>
      <c r="I178" s="3">
        <f>IF($A178="","",IF($S178&lt;&gt;"表示",0,IF($H178&gt;0,$H178,IFERROR($E178*$G178,0))))</f>
        <v/>
      </c>
      <c r="J178" s="3" t="n"/>
      <c r="K178" s="11" t="n"/>
      <c r="L178" s="3" t="n"/>
      <c r="M178" s="3" t="n"/>
      <c r="N178" s="3">
        <f>IF($A178="","",IF($S178&lt;&gt;"表示",0,IF($M178&gt;0,$M178,IFERROR($J178*$L178,0))))</f>
        <v/>
      </c>
      <c r="O178" s="3">
        <f>IF($A178="","",$I178-$N178)</f>
        <v/>
      </c>
      <c r="P178" s="3">
        <f>IF($A178="","",IFERROR($O178/$I178,0))</f>
        <v/>
      </c>
      <c r="Q178" s="11" t="n"/>
      <c r="R178" s="11" t="n"/>
      <c r="S178" s="11" t="inlineStr">
        <is>
          <t>表示</t>
        </is>
      </c>
      <c r="T178" s="11" t="n"/>
      <c r="U178" s="11" t="n"/>
      <c r="V178" s="11" t="n"/>
      <c r="W178" s="11" t="n"/>
      <c r="X178" s="11" t="n"/>
      <c r="Y178" s="11" t="n"/>
      <c r="Z178" s="11" t="n"/>
    </row>
    <row r="179" ht="26.75" customHeight="1">
      <c r="A179" s="11" t="n">
        <v>178</v>
      </c>
      <c r="B179" s="11" t="n"/>
      <c r="C179" s="11" t="n"/>
      <c r="D179" s="11" t="n"/>
      <c r="E179" s="3" t="n"/>
      <c r="F179" s="11" t="n"/>
      <c r="G179" s="3" t="n"/>
      <c r="H179" s="3" t="n"/>
      <c r="I179" s="3">
        <f>IF($A179="","",IF($S179&lt;&gt;"表示",0,IF($H179&gt;0,$H179,IFERROR($E179*$G179,0))))</f>
        <v/>
      </c>
      <c r="J179" s="3" t="n"/>
      <c r="K179" s="11" t="n"/>
      <c r="L179" s="3" t="n"/>
      <c r="M179" s="3" t="n"/>
      <c r="N179" s="3">
        <f>IF($A179="","",IF($S179&lt;&gt;"表示",0,IF($M179&gt;0,$M179,IFERROR($J179*$L179,0))))</f>
        <v/>
      </c>
      <c r="O179" s="3">
        <f>IF($A179="","",$I179-$N179)</f>
        <v/>
      </c>
      <c r="P179" s="3">
        <f>IF($A179="","",IFERROR($O179/$I179,0))</f>
        <v/>
      </c>
      <c r="Q179" s="11" t="n"/>
      <c r="R179" s="11" t="n"/>
      <c r="S179" s="11" t="inlineStr">
        <is>
          <t>表示</t>
        </is>
      </c>
      <c r="T179" s="11" t="n"/>
      <c r="U179" s="11" t="n"/>
      <c r="V179" s="11" t="n"/>
      <c r="W179" s="11" t="n"/>
      <c r="X179" s="11" t="n"/>
      <c r="Y179" s="11" t="n"/>
      <c r="Z179" s="11" t="n"/>
    </row>
    <row r="180" ht="26.75" customHeight="1">
      <c r="A180" s="11" t="n">
        <v>179</v>
      </c>
      <c r="B180" s="11" t="n"/>
      <c r="C180" s="11" t="n"/>
      <c r="D180" s="11" t="n"/>
      <c r="E180" s="3" t="n"/>
      <c r="F180" s="11" t="n"/>
      <c r="G180" s="3" t="n"/>
      <c r="H180" s="3" t="n"/>
      <c r="I180" s="3">
        <f>IF($A180="","",IF($S180&lt;&gt;"表示",0,IF($H180&gt;0,$H180,IFERROR($E180*$G180,0))))</f>
        <v/>
      </c>
      <c r="J180" s="3" t="n"/>
      <c r="K180" s="11" t="n"/>
      <c r="L180" s="3" t="n"/>
      <c r="M180" s="3" t="n"/>
      <c r="N180" s="3">
        <f>IF($A180="","",IF($S180&lt;&gt;"表示",0,IF($M180&gt;0,$M180,IFERROR($J180*$L180,0))))</f>
        <v/>
      </c>
      <c r="O180" s="3">
        <f>IF($A180="","",$I180-$N180)</f>
        <v/>
      </c>
      <c r="P180" s="3">
        <f>IF($A180="","",IFERROR($O180/$I180,0))</f>
        <v/>
      </c>
      <c r="Q180" s="11" t="n"/>
      <c r="R180" s="11" t="n"/>
      <c r="S180" s="11" t="inlineStr">
        <is>
          <t>表示</t>
        </is>
      </c>
      <c r="T180" s="11" t="n"/>
      <c r="U180" s="11" t="n"/>
      <c r="V180" s="11" t="n"/>
      <c r="W180" s="11" t="n"/>
      <c r="X180" s="11" t="n"/>
      <c r="Y180" s="11" t="n"/>
      <c r="Z180" s="11" t="n"/>
    </row>
    <row r="181" ht="26.75" customHeight="1">
      <c r="A181" s="11" t="n">
        <v>180</v>
      </c>
      <c r="B181" s="11" t="n"/>
      <c r="C181" s="11" t="n"/>
      <c r="D181" s="11" t="n"/>
      <c r="E181" s="3" t="n"/>
      <c r="F181" s="11" t="n"/>
      <c r="G181" s="3" t="n"/>
      <c r="H181" s="3" t="n"/>
      <c r="I181" s="3">
        <f>IF($A181="","",IF($S181&lt;&gt;"表示",0,IF($H181&gt;0,$H181,IFERROR($E181*$G181,0))))</f>
        <v/>
      </c>
      <c r="J181" s="3" t="n"/>
      <c r="K181" s="11" t="n"/>
      <c r="L181" s="3" t="n"/>
      <c r="M181" s="3" t="n"/>
      <c r="N181" s="3">
        <f>IF($A181="","",IF($S181&lt;&gt;"表示",0,IF($M181&gt;0,$M181,IFERROR($J181*$L181,0))))</f>
        <v/>
      </c>
      <c r="O181" s="3">
        <f>IF($A181="","",$I181-$N181)</f>
        <v/>
      </c>
      <c r="P181" s="3">
        <f>IF($A181="","",IFERROR($O181/$I181,0))</f>
        <v/>
      </c>
      <c r="Q181" s="11" t="n"/>
      <c r="R181" s="11" t="n"/>
      <c r="S181" s="11" t="inlineStr">
        <is>
          <t>表示</t>
        </is>
      </c>
      <c r="T181" s="11" t="n"/>
      <c r="U181" s="11" t="n"/>
      <c r="V181" s="11" t="n"/>
      <c r="W181" s="11" t="n"/>
      <c r="X181" s="11" t="n"/>
      <c r="Y181" s="11" t="n"/>
      <c r="Z181" s="11" t="n"/>
    </row>
    <row r="182" ht="26.75" customHeight="1">
      <c r="A182" s="11" t="n">
        <v>181</v>
      </c>
      <c r="B182" s="11" t="n"/>
      <c r="C182" s="11" t="n"/>
      <c r="D182" s="11" t="n"/>
      <c r="E182" s="3" t="n"/>
      <c r="F182" s="11" t="n"/>
      <c r="G182" s="3" t="n"/>
      <c r="H182" s="3" t="n"/>
      <c r="I182" s="3">
        <f>IF($A182="","",IF($S182&lt;&gt;"表示",0,IF($H182&gt;0,$H182,IFERROR($E182*$G182,0))))</f>
        <v/>
      </c>
      <c r="J182" s="3" t="n"/>
      <c r="K182" s="11" t="n"/>
      <c r="L182" s="3" t="n"/>
      <c r="M182" s="3" t="n"/>
      <c r="N182" s="3">
        <f>IF($A182="","",IF($S182&lt;&gt;"表示",0,IF($M182&gt;0,$M182,IFERROR($J182*$L182,0))))</f>
        <v/>
      </c>
      <c r="O182" s="3">
        <f>IF($A182="","",$I182-$N182)</f>
        <v/>
      </c>
      <c r="P182" s="3">
        <f>IF($A182="","",IFERROR($O182/$I182,0))</f>
        <v/>
      </c>
      <c r="Q182" s="11" t="n"/>
      <c r="R182" s="11" t="n"/>
      <c r="S182" s="11" t="inlineStr">
        <is>
          <t>表示</t>
        </is>
      </c>
      <c r="T182" s="11" t="n"/>
      <c r="U182" s="11" t="n"/>
      <c r="V182" s="11" t="n"/>
      <c r="W182" s="11" t="n"/>
      <c r="X182" s="11" t="n"/>
      <c r="Y182" s="11" t="n"/>
      <c r="Z182" s="11" t="n"/>
    </row>
    <row r="183" ht="26.75" customHeight="1">
      <c r="A183" s="11" t="n">
        <v>182</v>
      </c>
      <c r="B183" s="11" t="n"/>
      <c r="C183" s="11" t="n"/>
      <c r="D183" s="11" t="n"/>
      <c r="E183" s="3" t="n"/>
      <c r="F183" s="11" t="n"/>
      <c r="G183" s="3" t="n"/>
      <c r="H183" s="3" t="n"/>
      <c r="I183" s="3">
        <f>IF($A183="","",IF($S183&lt;&gt;"表示",0,IF($H183&gt;0,$H183,IFERROR($E183*$G183,0))))</f>
        <v/>
      </c>
      <c r="J183" s="3" t="n"/>
      <c r="K183" s="11" t="n"/>
      <c r="L183" s="3" t="n"/>
      <c r="M183" s="3" t="n"/>
      <c r="N183" s="3">
        <f>IF($A183="","",IF($S183&lt;&gt;"表示",0,IF($M183&gt;0,$M183,IFERROR($J183*$L183,0))))</f>
        <v/>
      </c>
      <c r="O183" s="3">
        <f>IF($A183="","",$I183-$N183)</f>
        <v/>
      </c>
      <c r="P183" s="3">
        <f>IF($A183="","",IFERROR($O183/$I183,0))</f>
        <v/>
      </c>
      <c r="Q183" s="11" t="n"/>
      <c r="R183" s="11" t="n"/>
      <c r="S183" s="11" t="inlineStr">
        <is>
          <t>表示</t>
        </is>
      </c>
      <c r="T183" s="11" t="n"/>
      <c r="U183" s="11" t="n"/>
      <c r="V183" s="11" t="n"/>
      <c r="W183" s="11" t="n"/>
      <c r="X183" s="11" t="n"/>
      <c r="Y183" s="11" t="n"/>
      <c r="Z183" s="11" t="n"/>
    </row>
    <row r="184" ht="26.75" customHeight="1">
      <c r="A184" s="11" t="n">
        <v>183</v>
      </c>
      <c r="B184" s="11" t="n"/>
      <c r="C184" s="11" t="n"/>
      <c r="D184" s="11" t="n"/>
      <c r="E184" s="3" t="n"/>
      <c r="F184" s="11" t="n"/>
      <c r="G184" s="3" t="n"/>
      <c r="H184" s="3" t="n"/>
      <c r="I184" s="3">
        <f>IF($A184="","",IF($S184&lt;&gt;"表示",0,IF($H184&gt;0,$H184,IFERROR($E184*$G184,0))))</f>
        <v/>
      </c>
      <c r="J184" s="3" t="n"/>
      <c r="K184" s="11" t="n"/>
      <c r="L184" s="3" t="n"/>
      <c r="M184" s="3" t="n"/>
      <c r="N184" s="3">
        <f>IF($A184="","",IF($S184&lt;&gt;"表示",0,IF($M184&gt;0,$M184,IFERROR($J184*$L184,0))))</f>
        <v/>
      </c>
      <c r="O184" s="3">
        <f>IF($A184="","",$I184-$N184)</f>
        <v/>
      </c>
      <c r="P184" s="3">
        <f>IF($A184="","",IFERROR($O184/$I184,0))</f>
        <v/>
      </c>
      <c r="Q184" s="11" t="n"/>
      <c r="R184" s="11" t="n"/>
      <c r="S184" s="11" t="inlineStr">
        <is>
          <t>表示</t>
        </is>
      </c>
      <c r="T184" s="11" t="n"/>
      <c r="U184" s="11" t="n"/>
      <c r="V184" s="11" t="n"/>
      <c r="W184" s="11" t="n"/>
      <c r="X184" s="11" t="n"/>
      <c r="Y184" s="11" t="n"/>
      <c r="Z184" s="11" t="n"/>
    </row>
    <row r="185" ht="26.75" customHeight="1">
      <c r="A185" s="11" t="n">
        <v>184</v>
      </c>
      <c r="B185" s="11" t="n"/>
      <c r="C185" s="11" t="n"/>
      <c r="D185" s="11" t="n"/>
      <c r="E185" s="3" t="n"/>
      <c r="F185" s="11" t="n"/>
      <c r="G185" s="3" t="n"/>
      <c r="H185" s="3" t="n"/>
      <c r="I185" s="3">
        <f>IF($A185="","",IF($S185&lt;&gt;"表示",0,IF($H185&gt;0,$H185,IFERROR($E185*$G185,0))))</f>
        <v/>
      </c>
      <c r="J185" s="3" t="n"/>
      <c r="K185" s="11" t="n"/>
      <c r="L185" s="3" t="n"/>
      <c r="M185" s="3" t="n"/>
      <c r="N185" s="3">
        <f>IF($A185="","",IF($S185&lt;&gt;"表示",0,IF($M185&gt;0,$M185,IFERROR($J185*$L185,0))))</f>
        <v/>
      </c>
      <c r="O185" s="3">
        <f>IF($A185="","",$I185-$N185)</f>
        <v/>
      </c>
      <c r="P185" s="3">
        <f>IF($A185="","",IFERROR($O185/$I185,0))</f>
        <v/>
      </c>
      <c r="Q185" s="11" t="n"/>
      <c r="R185" s="11" t="n"/>
      <c r="S185" s="11" t="inlineStr">
        <is>
          <t>表示</t>
        </is>
      </c>
      <c r="T185" s="11" t="n"/>
      <c r="U185" s="11" t="n"/>
      <c r="V185" s="11" t="n"/>
      <c r="W185" s="11" t="n"/>
      <c r="X185" s="11" t="n"/>
      <c r="Y185" s="11" t="n"/>
      <c r="Z185" s="11" t="n"/>
    </row>
    <row r="186" ht="26.75" customHeight="1">
      <c r="A186" s="11" t="n">
        <v>185</v>
      </c>
      <c r="B186" s="11" t="n"/>
      <c r="C186" s="11" t="n"/>
      <c r="D186" s="11" t="n"/>
      <c r="E186" s="3" t="n"/>
      <c r="F186" s="11" t="n"/>
      <c r="G186" s="3" t="n"/>
      <c r="H186" s="3" t="n"/>
      <c r="I186" s="3">
        <f>IF($A186="","",IF($S186&lt;&gt;"表示",0,IF($H186&gt;0,$H186,IFERROR($E186*$G186,0))))</f>
        <v/>
      </c>
      <c r="J186" s="3" t="n"/>
      <c r="K186" s="11" t="n"/>
      <c r="L186" s="3" t="n"/>
      <c r="M186" s="3" t="n"/>
      <c r="N186" s="3">
        <f>IF($A186="","",IF($S186&lt;&gt;"表示",0,IF($M186&gt;0,$M186,IFERROR($J186*$L186,0))))</f>
        <v/>
      </c>
      <c r="O186" s="3">
        <f>IF($A186="","",$I186-$N186)</f>
        <v/>
      </c>
      <c r="P186" s="3">
        <f>IF($A186="","",IFERROR($O186/$I186,0))</f>
        <v/>
      </c>
      <c r="Q186" s="11" t="n"/>
      <c r="R186" s="11" t="n"/>
      <c r="S186" s="11" t="inlineStr">
        <is>
          <t>表示</t>
        </is>
      </c>
      <c r="T186" s="11" t="n"/>
      <c r="U186" s="11" t="n"/>
      <c r="V186" s="11" t="n"/>
      <c r="W186" s="11" t="n"/>
      <c r="X186" s="11" t="n"/>
      <c r="Y186" s="11" t="n"/>
      <c r="Z186" s="11" t="n"/>
    </row>
    <row r="187" ht="26.75" customHeight="1">
      <c r="A187" s="11" t="n">
        <v>186</v>
      </c>
      <c r="B187" s="11" t="n"/>
      <c r="C187" s="11" t="n"/>
      <c r="D187" s="11" t="n"/>
      <c r="E187" s="3" t="n"/>
      <c r="F187" s="11" t="n"/>
      <c r="G187" s="3" t="n"/>
      <c r="H187" s="3" t="n"/>
      <c r="I187" s="3">
        <f>IF($A187="","",IF($S187&lt;&gt;"表示",0,IF($H187&gt;0,$H187,IFERROR($E187*$G187,0))))</f>
        <v/>
      </c>
      <c r="J187" s="3" t="n"/>
      <c r="K187" s="11" t="n"/>
      <c r="L187" s="3" t="n"/>
      <c r="M187" s="3" t="n"/>
      <c r="N187" s="3">
        <f>IF($A187="","",IF($S187&lt;&gt;"表示",0,IF($M187&gt;0,$M187,IFERROR($J187*$L187,0))))</f>
        <v/>
      </c>
      <c r="O187" s="3">
        <f>IF($A187="","",$I187-$N187)</f>
        <v/>
      </c>
      <c r="P187" s="3">
        <f>IF($A187="","",IFERROR($O187/$I187,0))</f>
        <v/>
      </c>
      <c r="Q187" s="11" t="n"/>
      <c r="R187" s="11" t="n"/>
      <c r="S187" s="11" t="inlineStr">
        <is>
          <t>表示</t>
        </is>
      </c>
      <c r="T187" s="11" t="n"/>
      <c r="U187" s="11" t="n"/>
      <c r="V187" s="11" t="n"/>
      <c r="W187" s="11" t="n"/>
      <c r="X187" s="11" t="n"/>
      <c r="Y187" s="11" t="n"/>
      <c r="Z187" s="11" t="n"/>
    </row>
    <row r="188" ht="26.75" customHeight="1">
      <c r="A188" s="11" t="n">
        <v>187</v>
      </c>
      <c r="B188" s="11" t="n"/>
      <c r="C188" s="11" t="n"/>
      <c r="D188" s="11" t="n"/>
      <c r="E188" s="3" t="n"/>
      <c r="F188" s="11" t="n"/>
      <c r="G188" s="3" t="n"/>
      <c r="H188" s="3" t="n"/>
      <c r="I188" s="3">
        <f>IF($A188="","",IF($S188&lt;&gt;"表示",0,IF($H188&gt;0,$H188,IFERROR($E188*$G188,0))))</f>
        <v/>
      </c>
      <c r="J188" s="3" t="n"/>
      <c r="K188" s="11" t="n"/>
      <c r="L188" s="3" t="n"/>
      <c r="M188" s="3" t="n"/>
      <c r="N188" s="3">
        <f>IF($A188="","",IF($S188&lt;&gt;"表示",0,IF($M188&gt;0,$M188,IFERROR($J188*$L188,0))))</f>
        <v/>
      </c>
      <c r="O188" s="3">
        <f>IF($A188="","",$I188-$N188)</f>
        <v/>
      </c>
      <c r="P188" s="3">
        <f>IF($A188="","",IFERROR($O188/$I188,0))</f>
        <v/>
      </c>
      <c r="Q188" s="11" t="n"/>
      <c r="R188" s="11" t="n"/>
      <c r="S188" s="11" t="inlineStr">
        <is>
          <t>表示</t>
        </is>
      </c>
      <c r="T188" s="11" t="n"/>
      <c r="U188" s="11" t="n"/>
      <c r="V188" s="11" t="n"/>
      <c r="W188" s="11" t="n"/>
      <c r="X188" s="11" t="n"/>
      <c r="Y188" s="11" t="n"/>
      <c r="Z188" s="11" t="n"/>
    </row>
    <row r="189" ht="26.75" customHeight="1">
      <c r="A189" s="11" t="n">
        <v>188</v>
      </c>
      <c r="B189" s="11" t="n"/>
      <c r="C189" s="11" t="n"/>
      <c r="D189" s="11" t="n"/>
      <c r="E189" s="3" t="n"/>
      <c r="F189" s="11" t="n"/>
      <c r="G189" s="3" t="n"/>
      <c r="H189" s="3" t="n"/>
      <c r="I189" s="3">
        <f>IF($A189="","",IF($S189&lt;&gt;"表示",0,IF($H189&gt;0,$H189,IFERROR($E189*$G189,0))))</f>
        <v/>
      </c>
      <c r="J189" s="3" t="n"/>
      <c r="K189" s="11" t="n"/>
      <c r="L189" s="3" t="n"/>
      <c r="M189" s="3" t="n"/>
      <c r="N189" s="3">
        <f>IF($A189="","",IF($S189&lt;&gt;"表示",0,IF($M189&gt;0,$M189,IFERROR($J189*$L189,0))))</f>
        <v/>
      </c>
      <c r="O189" s="3">
        <f>IF($A189="","",$I189-$N189)</f>
        <v/>
      </c>
      <c r="P189" s="3">
        <f>IF($A189="","",IFERROR($O189/$I189,0))</f>
        <v/>
      </c>
      <c r="Q189" s="11" t="n"/>
      <c r="R189" s="11" t="n"/>
      <c r="S189" s="11" t="inlineStr">
        <is>
          <t>表示</t>
        </is>
      </c>
      <c r="T189" s="11" t="n"/>
      <c r="U189" s="11" t="n"/>
      <c r="V189" s="11" t="n"/>
      <c r="W189" s="11" t="n"/>
      <c r="X189" s="11" t="n"/>
      <c r="Y189" s="11" t="n"/>
      <c r="Z189" s="11" t="n"/>
    </row>
    <row r="190" ht="26.75" customHeight="1">
      <c r="A190" s="11" t="n">
        <v>189</v>
      </c>
      <c r="B190" s="11" t="n"/>
      <c r="C190" s="11" t="n"/>
      <c r="D190" s="11" t="n"/>
      <c r="E190" s="3" t="n"/>
      <c r="F190" s="11" t="n"/>
      <c r="G190" s="3" t="n"/>
      <c r="H190" s="3" t="n"/>
      <c r="I190" s="3">
        <f>IF($A190="","",IF($S190&lt;&gt;"表示",0,IF($H190&gt;0,$H190,IFERROR($E190*$G190,0))))</f>
        <v/>
      </c>
      <c r="J190" s="3" t="n"/>
      <c r="K190" s="11" t="n"/>
      <c r="L190" s="3" t="n"/>
      <c r="M190" s="3" t="n"/>
      <c r="N190" s="3">
        <f>IF($A190="","",IF($S190&lt;&gt;"表示",0,IF($M190&gt;0,$M190,IFERROR($J190*$L190,0))))</f>
        <v/>
      </c>
      <c r="O190" s="3">
        <f>IF($A190="","",$I190-$N190)</f>
        <v/>
      </c>
      <c r="P190" s="3">
        <f>IF($A190="","",IFERROR($O190/$I190,0))</f>
        <v/>
      </c>
      <c r="Q190" s="11" t="n"/>
      <c r="R190" s="11" t="n"/>
      <c r="S190" s="11" t="inlineStr">
        <is>
          <t>表示</t>
        </is>
      </c>
      <c r="T190" s="11" t="n"/>
      <c r="U190" s="11" t="n"/>
      <c r="V190" s="11" t="n"/>
      <c r="W190" s="11" t="n"/>
      <c r="X190" s="11" t="n"/>
      <c r="Y190" s="11" t="n"/>
      <c r="Z190" s="11" t="n"/>
    </row>
    <row r="191" ht="26.75" customHeight="1">
      <c r="A191" s="11" t="n">
        <v>190</v>
      </c>
      <c r="B191" s="11" t="n"/>
      <c r="C191" s="11" t="n"/>
      <c r="D191" s="11" t="n"/>
      <c r="E191" s="3" t="n"/>
      <c r="F191" s="11" t="n"/>
      <c r="G191" s="3" t="n"/>
      <c r="H191" s="3" t="n"/>
      <c r="I191" s="3">
        <f>IF($A191="","",IF($S191&lt;&gt;"表示",0,IF($H191&gt;0,$H191,IFERROR($E191*$G191,0))))</f>
        <v/>
      </c>
      <c r="J191" s="3" t="n"/>
      <c r="K191" s="11" t="n"/>
      <c r="L191" s="3" t="n"/>
      <c r="M191" s="3" t="n"/>
      <c r="N191" s="3">
        <f>IF($A191="","",IF($S191&lt;&gt;"表示",0,IF($M191&gt;0,$M191,IFERROR($J191*$L191,0))))</f>
        <v/>
      </c>
      <c r="O191" s="3">
        <f>IF($A191="","",$I191-$N191)</f>
        <v/>
      </c>
      <c r="P191" s="3">
        <f>IF($A191="","",IFERROR($O191/$I191,0))</f>
        <v/>
      </c>
      <c r="Q191" s="11" t="n"/>
      <c r="R191" s="11" t="n"/>
      <c r="S191" s="11" t="inlineStr">
        <is>
          <t>表示</t>
        </is>
      </c>
      <c r="T191" s="11" t="n"/>
      <c r="U191" s="11" t="n"/>
      <c r="V191" s="11" t="n"/>
      <c r="W191" s="11" t="n"/>
      <c r="X191" s="11" t="n"/>
      <c r="Y191" s="11" t="n"/>
      <c r="Z191" s="11" t="n"/>
    </row>
    <row r="192" ht="26.75" customHeight="1">
      <c r="A192" s="11" t="n">
        <v>191</v>
      </c>
      <c r="B192" s="11" t="n"/>
      <c r="C192" s="11" t="n"/>
      <c r="D192" s="11" t="n"/>
      <c r="E192" s="3" t="n"/>
      <c r="F192" s="11" t="n"/>
      <c r="G192" s="3" t="n"/>
      <c r="H192" s="3" t="n"/>
      <c r="I192" s="3">
        <f>IF($A192="","",IF($S192&lt;&gt;"表示",0,IF($H192&gt;0,$H192,IFERROR($E192*$G192,0))))</f>
        <v/>
      </c>
      <c r="J192" s="3" t="n"/>
      <c r="K192" s="11" t="n"/>
      <c r="L192" s="3" t="n"/>
      <c r="M192" s="3" t="n"/>
      <c r="N192" s="3">
        <f>IF($A192="","",IF($S192&lt;&gt;"表示",0,IF($M192&gt;0,$M192,IFERROR($J192*$L192,0))))</f>
        <v/>
      </c>
      <c r="O192" s="3">
        <f>IF($A192="","",$I192-$N192)</f>
        <v/>
      </c>
      <c r="P192" s="3">
        <f>IF($A192="","",IFERROR($O192/$I192,0))</f>
        <v/>
      </c>
      <c r="Q192" s="11" t="n"/>
      <c r="R192" s="11" t="n"/>
      <c r="S192" s="11" t="inlineStr">
        <is>
          <t>表示</t>
        </is>
      </c>
      <c r="T192" s="11" t="n"/>
      <c r="U192" s="11" t="n"/>
      <c r="V192" s="11" t="n"/>
      <c r="W192" s="11" t="n"/>
      <c r="X192" s="11" t="n"/>
      <c r="Y192" s="11" t="n"/>
      <c r="Z192" s="11" t="n"/>
    </row>
    <row r="193" ht="26.75" customHeight="1">
      <c r="A193" s="11" t="n">
        <v>192</v>
      </c>
      <c r="B193" s="11" t="n"/>
      <c r="C193" s="11" t="n"/>
      <c r="D193" s="11" t="n"/>
      <c r="E193" s="3" t="n"/>
      <c r="F193" s="11" t="n"/>
      <c r="G193" s="3" t="n"/>
      <c r="H193" s="3" t="n"/>
      <c r="I193" s="3">
        <f>IF($A193="","",IF($S193&lt;&gt;"表示",0,IF($H193&gt;0,$H193,IFERROR($E193*$G193,0))))</f>
        <v/>
      </c>
      <c r="J193" s="3" t="n"/>
      <c r="K193" s="11" t="n"/>
      <c r="L193" s="3" t="n"/>
      <c r="M193" s="3" t="n"/>
      <c r="N193" s="3">
        <f>IF($A193="","",IF($S193&lt;&gt;"表示",0,IF($M193&gt;0,$M193,IFERROR($J193*$L193,0))))</f>
        <v/>
      </c>
      <c r="O193" s="3">
        <f>IF($A193="","",$I193-$N193)</f>
        <v/>
      </c>
      <c r="P193" s="3">
        <f>IF($A193="","",IFERROR($O193/$I193,0))</f>
        <v/>
      </c>
      <c r="Q193" s="11" t="n"/>
      <c r="R193" s="11" t="n"/>
      <c r="S193" s="11" t="inlineStr">
        <is>
          <t>表示</t>
        </is>
      </c>
      <c r="T193" s="11" t="n"/>
      <c r="U193" s="11" t="n"/>
      <c r="V193" s="11" t="n"/>
      <c r="W193" s="11" t="n"/>
      <c r="X193" s="11" t="n"/>
      <c r="Y193" s="11" t="n"/>
      <c r="Z193" s="11" t="n"/>
    </row>
    <row r="194" ht="26.75" customHeight="1">
      <c r="A194" s="11" t="n">
        <v>193</v>
      </c>
      <c r="B194" s="11" t="n"/>
      <c r="C194" s="11" t="n"/>
      <c r="D194" s="11" t="n"/>
      <c r="E194" s="3" t="n"/>
      <c r="F194" s="11" t="n"/>
      <c r="G194" s="3" t="n"/>
      <c r="H194" s="3" t="n"/>
      <c r="I194" s="3">
        <f>IF($A194="","",IF($S194&lt;&gt;"表示",0,IF($H194&gt;0,$H194,IFERROR($E194*$G194,0))))</f>
        <v/>
      </c>
      <c r="J194" s="3" t="n"/>
      <c r="K194" s="11" t="n"/>
      <c r="L194" s="3" t="n"/>
      <c r="M194" s="3" t="n"/>
      <c r="N194" s="3">
        <f>IF($A194="","",IF($S194&lt;&gt;"表示",0,IF($M194&gt;0,$M194,IFERROR($J194*$L194,0))))</f>
        <v/>
      </c>
      <c r="O194" s="3">
        <f>IF($A194="","",$I194-$N194)</f>
        <v/>
      </c>
      <c r="P194" s="3">
        <f>IF($A194="","",IFERROR($O194/$I194,0))</f>
        <v/>
      </c>
      <c r="Q194" s="11" t="n"/>
      <c r="R194" s="11" t="n"/>
      <c r="S194" s="11" t="inlineStr">
        <is>
          <t>表示</t>
        </is>
      </c>
      <c r="T194" s="11" t="n"/>
      <c r="U194" s="11" t="n"/>
      <c r="V194" s="11" t="n"/>
      <c r="W194" s="11" t="n"/>
      <c r="X194" s="11" t="n"/>
      <c r="Y194" s="11" t="n"/>
      <c r="Z194" s="11" t="n"/>
    </row>
    <row r="195" ht="26.75" customHeight="1">
      <c r="A195" s="11" t="n">
        <v>194</v>
      </c>
      <c r="B195" s="11" t="n"/>
      <c r="C195" s="11" t="n"/>
      <c r="D195" s="11" t="n"/>
      <c r="E195" s="3" t="n"/>
      <c r="F195" s="11" t="n"/>
      <c r="G195" s="3" t="n"/>
      <c r="H195" s="3" t="n"/>
      <c r="I195" s="3">
        <f>IF($A195="","",IF($S195&lt;&gt;"表示",0,IF($H195&gt;0,$H195,IFERROR($E195*$G195,0))))</f>
        <v/>
      </c>
      <c r="J195" s="3" t="n"/>
      <c r="K195" s="11" t="n"/>
      <c r="L195" s="3" t="n"/>
      <c r="M195" s="3" t="n"/>
      <c r="N195" s="3">
        <f>IF($A195="","",IF($S195&lt;&gt;"表示",0,IF($M195&gt;0,$M195,IFERROR($J195*$L195,0))))</f>
        <v/>
      </c>
      <c r="O195" s="3">
        <f>IF($A195="","",$I195-$N195)</f>
        <v/>
      </c>
      <c r="P195" s="3">
        <f>IF($A195="","",IFERROR($O195/$I195,0))</f>
        <v/>
      </c>
      <c r="Q195" s="11" t="n"/>
      <c r="R195" s="11" t="n"/>
      <c r="S195" s="11" t="inlineStr">
        <is>
          <t>表示</t>
        </is>
      </c>
      <c r="T195" s="11" t="n"/>
      <c r="U195" s="11" t="n"/>
      <c r="V195" s="11" t="n"/>
      <c r="W195" s="11" t="n"/>
      <c r="X195" s="11" t="n"/>
      <c r="Y195" s="11" t="n"/>
      <c r="Z195" s="11" t="n"/>
    </row>
    <row r="196" ht="26.75" customHeight="1">
      <c r="A196" s="11" t="n">
        <v>195</v>
      </c>
      <c r="B196" s="11" t="n"/>
      <c r="C196" s="11" t="n"/>
      <c r="D196" s="11" t="n"/>
      <c r="E196" s="3" t="n"/>
      <c r="F196" s="11" t="n"/>
      <c r="G196" s="3" t="n"/>
      <c r="H196" s="3" t="n"/>
      <c r="I196" s="3">
        <f>IF($A196="","",IF($S196&lt;&gt;"表示",0,IF($H196&gt;0,$H196,IFERROR($E196*$G196,0))))</f>
        <v/>
      </c>
      <c r="J196" s="3" t="n"/>
      <c r="K196" s="11" t="n"/>
      <c r="L196" s="3" t="n"/>
      <c r="M196" s="3" t="n"/>
      <c r="N196" s="3">
        <f>IF($A196="","",IF($S196&lt;&gt;"表示",0,IF($M196&gt;0,$M196,IFERROR($J196*$L196,0))))</f>
        <v/>
      </c>
      <c r="O196" s="3">
        <f>IF($A196="","",$I196-$N196)</f>
        <v/>
      </c>
      <c r="P196" s="3">
        <f>IF($A196="","",IFERROR($O196/$I196,0))</f>
        <v/>
      </c>
      <c r="Q196" s="11" t="n"/>
      <c r="R196" s="11" t="n"/>
      <c r="S196" s="11" t="inlineStr">
        <is>
          <t>表示</t>
        </is>
      </c>
      <c r="T196" s="11" t="n"/>
      <c r="U196" s="11" t="n"/>
      <c r="V196" s="11" t="n"/>
      <c r="W196" s="11" t="n"/>
      <c r="X196" s="11" t="n"/>
      <c r="Y196" s="11" t="n"/>
      <c r="Z196" s="11" t="n"/>
    </row>
    <row r="197" ht="26.75" customHeight="1">
      <c r="A197" s="11" t="n">
        <v>196</v>
      </c>
      <c r="B197" s="11" t="n"/>
      <c r="C197" s="11" t="n"/>
      <c r="D197" s="11" t="n"/>
      <c r="E197" s="3" t="n"/>
      <c r="F197" s="11" t="n"/>
      <c r="G197" s="3" t="n"/>
      <c r="H197" s="3" t="n"/>
      <c r="I197" s="3">
        <f>IF($A197="","",IF($S197&lt;&gt;"表示",0,IF($H197&gt;0,$H197,IFERROR($E197*$G197,0))))</f>
        <v/>
      </c>
      <c r="J197" s="3" t="n"/>
      <c r="K197" s="11" t="n"/>
      <c r="L197" s="3" t="n"/>
      <c r="M197" s="3" t="n"/>
      <c r="N197" s="3">
        <f>IF($A197="","",IF($S197&lt;&gt;"表示",0,IF($M197&gt;0,$M197,IFERROR($J197*$L197,0))))</f>
        <v/>
      </c>
      <c r="O197" s="3">
        <f>IF($A197="","",$I197-$N197)</f>
        <v/>
      </c>
      <c r="P197" s="3">
        <f>IF($A197="","",IFERROR($O197/$I197,0))</f>
        <v/>
      </c>
      <c r="Q197" s="11" t="n"/>
      <c r="R197" s="11" t="n"/>
      <c r="S197" s="11" t="inlineStr">
        <is>
          <t>表示</t>
        </is>
      </c>
      <c r="T197" s="11" t="n"/>
      <c r="U197" s="11" t="n"/>
      <c r="V197" s="11" t="n"/>
      <c r="W197" s="11" t="n"/>
      <c r="X197" s="11" t="n"/>
      <c r="Y197" s="11" t="n"/>
      <c r="Z197" s="11" t="n"/>
    </row>
    <row r="198" ht="26.75" customHeight="1">
      <c r="A198" s="11" t="n">
        <v>197</v>
      </c>
      <c r="B198" s="11" t="n"/>
      <c r="C198" s="11" t="n"/>
      <c r="D198" s="11" t="n"/>
      <c r="E198" s="3" t="n"/>
      <c r="F198" s="11" t="n"/>
      <c r="G198" s="3" t="n"/>
      <c r="H198" s="3" t="n"/>
      <c r="I198" s="3">
        <f>IF($A198="","",IF($S198&lt;&gt;"表示",0,IF($H198&gt;0,$H198,IFERROR($E198*$G198,0))))</f>
        <v/>
      </c>
      <c r="J198" s="3" t="n"/>
      <c r="K198" s="11" t="n"/>
      <c r="L198" s="3" t="n"/>
      <c r="M198" s="3" t="n"/>
      <c r="N198" s="3">
        <f>IF($A198="","",IF($S198&lt;&gt;"表示",0,IF($M198&gt;0,$M198,IFERROR($J198*$L198,0))))</f>
        <v/>
      </c>
      <c r="O198" s="3">
        <f>IF($A198="","",$I198-$N198)</f>
        <v/>
      </c>
      <c r="P198" s="3">
        <f>IF($A198="","",IFERROR($O198/$I198,0))</f>
        <v/>
      </c>
      <c r="Q198" s="11" t="n"/>
      <c r="R198" s="11" t="n"/>
      <c r="S198" s="11" t="inlineStr">
        <is>
          <t>表示</t>
        </is>
      </c>
      <c r="T198" s="11" t="n"/>
      <c r="U198" s="11" t="n"/>
      <c r="V198" s="11" t="n"/>
      <c r="W198" s="11" t="n"/>
      <c r="X198" s="11" t="n"/>
      <c r="Y198" s="11" t="n"/>
      <c r="Z198" s="11" t="n"/>
    </row>
    <row r="199" ht="26.75" customHeight="1">
      <c r="A199" s="11" t="n">
        <v>198</v>
      </c>
      <c r="B199" s="11" t="n"/>
      <c r="C199" s="11" t="n"/>
      <c r="D199" s="11" t="n"/>
      <c r="E199" s="3" t="n"/>
      <c r="F199" s="11" t="n"/>
      <c r="G199" s="3" t="n"/>
      <c r="H199" s="3" t="n"/>
      <c r="I199" s="3">
        <f>IF($A199="","",IF($S199&lt;&gt;"表示",0,IF($H199&gt;0,$H199,IFERROR($E199*$G199,0))))</f>
        <v/>
      </c>
      <c r="J199" s="3" t="n"/>
      <c r="K199" s="11" t="n"/>
      <c r="L199" s="3" t="n"/>
      <c r="M199" s="3" t="n"/>
      <c r="N199" s="3">
        <f>IF($A199="","",IF($S199&lt;&gt;"表示",0,IF($M199&gt;0,$M199,IFERROR($J199*$L199,0))))</f>
        <v/>
      </c>
      <c r="O199" s="3">
        <f>IF($A199="","",$I199-$N199)</f>
        <v/>
      </c>
      <c r="P199" s="3">
        <f>IF($A199="","",IFERROR($O199/$I199,0))</f>
        <v/>
      </c>
      <c r="Q199" s="11" t="n"/>
      <c r="R199" s="11" t="n"/>
      <c r="S199" s="11" t="inlineStr">
        <is>
          <t>表示</t>
        </is>
      </c>
      <c r="T199" s="11" t="n"/>
      <c r="U199" s="11" t="n"/>
      <c r="V199" s="11" t="n"/>
      <c r="W199" s="11" t="n"/>
      <c r="X199" s="11" t="n"/>
      <c r="Y199" s="11" t="n"/>
      <c r="Z199" s="11" t="n"/>
    </row>
    <row r="200" ht="26.75" customHeight="1">
      <c r="A200" s="11" t="n">
        <v>199</v>
      </c>
      <c r="B200" s="11" t="n"/>
      <c r="C200" s="11" t="n"/>
      <c r="D200" s="11" t="n"/>
      <c r="E200" s="3" t="n"/>
      <c r="F200" s="11" t="n"/>
      <c r="G200" s="3" t="n"/>
      <c r="H200" s="3" t="n"/>
      <c r="I200" s="3">
        <f>IF($A200="","",IF($S200&lt;&gt;"表示",0,IF($H200&gt;0,$H200,IFERROR($E200*$G200,0))))</f>
        <v/>
      </c>
      <c r="J200" s="3" t="n"/>
      <c r="K200" s="11" t="n"/>
      <c r="L200" s="3" t="n"/>
      <c r="M200" s="3" t="n"/>
      <c r="N200" s="3">
        <f>IF($A200="","",IF($S200&lt;&gt;"表示",0,IF($M200&gt;0,$M200,IFERROR($J200*$L200,0))))</f>
        <v/>
      </c>
      <c r="O200" s="3">
        <f>IF($A200="","",$I200-$N200)</f>
        <v/>
      </c>
      <c r="P200" s="3">
        <f>IF($A200="","",IFERROR($O200/$I200,0))</f>
        <v/>
      </c>
      <c r="Q200" s="11" t="n"/>
      <c r="R200" s="11" t="n"/>
      <c r="S200" s="11" t="inlineStr">
        <is>
          <t>表示</t>
        </is>
      </c>
      <c r="T200" s="11" t="n"/>
      <c r="U200" s="11" t="n"/>
      <c r="V200" s="11" t="n"/>
      <c r="W200" s="11" t="n"/>
      <c r="X200" s="11" t="n"/>
      <c r="Y200" s="11" t="n"/>
      <c r="Z200" s="11" t="n"/>
    </row>
    <row r="201" ht="26.75" customHeight="1">
      <c r="A201" s="11" t="n">
        <v>200</v>
      </c>
      <c r="B201" s="11" t="n"/>
      <c r="C201" s="11" t="n"/>
      <c r="D201" s="11" t="n"/>
      <c r="E201" s="3" t="n"/>
      <c r="F201" s="11" t="n"/>
      <c r="G201" s="3" t="n"/>
      <c r="H201" s="3" t="n"/>
      <c r="I201" s="3">
        <f>IF($A201="","",IF($S201&lt;&gt;"表示",0,IF($H201&gt;0,$H201,IFERROR($E201*$G201,0))))</f>
        <v/>
      </c>
      <c r="J201" s="3" t="n"/>
      <c r="K201" s="11" t="n"/>
      <c r="L201" s="3" t="n"/>
      <c r="M201" s="3" t="n"/>
      <c r="N201" s="3">
        <f>IF($A201="","",IF($S201&lt;&gt;"表示",0,IF($M201&gt;0,$M201,IFERROR($J201*$L201,0))))</f>
        <v/>
      </c>
      <c r="O201" s="3">
        <f>IF($A201="","",$I201-$N201)</f>
        <v/>
      </c>
      <c r="P201" s="3">
        <f>IF($A201="","",IFERROR($O201/$I201,0))</f>
        <v/>
      </c>
      <c r="Q201" s="11" t="n"/>
      <c r="R201" s="11" t="n"/>
      <c r="S201" s="11" t="inlineStr">
        <is>
          <t>表示</t>
        </is>
      </c>
      <c r="T201" s="11" t="n"/>
      <c r="U201" s="11" t="n"/>
      <c r="V201" s="11" t="n"/>
      <c r="W201" s="11" t="n"/>
      <c r="X201" s="11" t="n"/>
      <c r="Y201" s="11" t="n"/>
      <c r="Z201" s="11" t="n"/>
    </row>
    <row r="202" ht="26.75" customHeight="1">
      <c r="A202" s="11" t="n">
        <v>201</v>
      </c>
      <c r="B202" s="11" t="n"/>
      <c r="C202" s="11" t="n"/>
      <c r="D202" s="11" t="n"/>
      <c r="E202" s="3" t="n"/>
      <c r="F202" s="11" t="n"/>
      <c r="G202" s="3" t="n"/>
      <c r="H202" s="3" t="n"/>
      <c r="I202" s="3">
        <f>IF($A202="","",IF($S202&lt;&gt;"表示",0,IF($H202&gt;0,$H202,IFERROR($E202*$G202,0))))</f>
        <v/>
      </c>
      <c r="J202" s="3" t="n"/>
      <c r="K202" s="11" t="n"/>
      <c r="L202" s="3" t="n"/>
      <c r="M202" s="3" t="n"/>
      <c r="N202" s="3">
        <f>IF($A202="","",IF($S202&lt;&gt;"表示",0,IF($M202&gt;0,$M202,IFERROR($J202*$L202,0))))</f>
        <v/>
      </c>
      <c r="O202" s="3">
        <f>IF($A202="","",$I202-$N202)</f>
        <v/>
      </c>
      <c r="P202" s="3">
        <f>IF($A202="","",IFERROR($O202/$I202,0))</f>
        <v/>
      </c>
      <c r="Q202" s="11" t="n"/>
      <c r="R202" s="11" t="n"/>
      <c r="S202" s="11" t="inlineStr">
        <is>
          <t>表示</t>
        </is>
      </c>
      <c r="T202" s="11" t="n"/>
      <c r="U202" s="11" t="n"/>
      <c r="V202" s="11" t="n"/>
      <c r="W202" s="11" t="n"/>
      <c r="X202" s="11" t="n"/>
      <c r="Y202" s="11" t="n"/>
      <c r="Z202" s="11" t="n"/>
    </row>
    <row r="203" ht="26.75" customHeight="1">
      <c r="A203" s="11" t="n">
        <v>202</v>
      </c>
      <c r="B203" s="11" t="n"/>
      <c r="C203" s="11" t="n"/>
      <c r="D203" s="11" t="n"/>
      <c r="E203" s="3" t="n"/>
      <c r="F203" s="11" t="n"/>
      <c r="G203" s="3" t="n"/>
      <c r="H203" s="3" t="n"/>
      <c r="I203" s="3">
        <f>IF($A203="","",IF($S203&lt;&gt;"表示",0,IF($H203&gt;0,$H203,IFERROR($E203*$G203,0))))</f>
        <v/>
      </c>
      <c r="J203" s="3" t="n"/>
      <c r="K203" s="11" t="n"/>
      <c r="L203" s="3" t="n"/>
      <c r="M203" s="3" t="n"/>
      <c r="N203" s="3">
        <f>IF($A203="","",IF($S203&lt;&gt;"表示",0,IF($M203&gt;0,$M203,IFERROR($J203*$L203,0))))</f>
        <v/>
      </c>
      <c r="O203" s="3">
        <f>IF($A203="","",$I203-$N203)</f>
        <v/>
      </c>
      <c r="P203" s="3">
        <f>IF($A203="","",IFERROR($O203/$I203,0))</f>
        <v/>
      </c>
      <c r="Q203" s="11" t="n"/>
      <c r="R203" s="11" t="n"/>
      <c r="S203" s="11" t="inlineStr">
        <is>
          <t>表示</t>
        </is>
      </c>
      <c r="T203" s="11" t="n"/>
      <c r="U203" s="11" t="n"/>
      <c r="V203" s="11" t="n"/>
      <c r="W203" s="11" t="n"/>
      <c r="X203" s="11" t="n"/>
      <c r="Y203" s="11" t="n"/>
      <c r="Z203" s="11" t="n"/>
    </row>
    <row r="204" ht="26.75" customHeight="1">
      <c r="A204" s="11" t="n">
        <v>203</v>
      </c>
      <c r="B204" s="11" t="n"/>
      <c r="C204" s="11" t="n"/>
      <c r="D204" s="11" t="n"/>
      <c r="E204" s="3" t="n"/>
      <c r="F204" s="11" t="n"/>
      <c r="G204" s="3" t="n"/>
      <c r="H204" s="3" t="n"/>
      <c r="I204" s="3">
        <f>IF($A204="","",IF($S204&lt;&gt;"表示",0,IF($H204&gt;0,$H204,IFERROR($E204*$G204,0))))</f>
        <v/>
      </c>
      <c r="J204" s="3" t="n"/>
      <c r="K204" s="11" t="n"/>
      <c r="L204" s="3" t="n"/>
      <c r="M204" s="3" t="n"/>
      <c r="N204" s="3">
        <f>IF($A204="","",IF($S204&lt;&gt;"表示",0,IF($M204&gt;0,$M204,IFERROR($J204*$L204,0))))</f>
        <v/>
      </c>
      <c r="O204" s="3">
        <f>IF($A204="","",$I204-$N204)</f>
        <v/>
      </c>
      <c r="P204" s="3">
        <f>IF($A204="","",IFERROR($O204/$I204,0))</f>
        <v/>
      </c>
      <c r="Q204" s="11" t="n"/>
      <c r="R204" s="11" t="n"/>
      <c r="S204" s="11" t="inlineStr">
        <is>
          <t>表示</t>
        </is>
      </c>
      <c r="T204" s="11" t="n"/>
      <c r="U204" s="11" t="n"/>
      <c r="V204" s="11" t="n"/>
      <c r="W204" s="11" t="n"/>
      <c r="X204" s="11" t="n"/>
      <c r="Y204" s="11" t="n"/>
      <c r="Z204" s="11" t="n"/>
    </row>
    <row r="205" ht="26.75" customHeight="1">
      <c r="A205" s="11" t="n">
        <v>204</v>
      </c>
      <c r="B205" s="11" t="n"/>
      <c r="C205" s="11" t="n"/>
      <c r="D205" s="11" t="n"/>
      <c r="E205" s="3" t="n"/>
      <c r="F205" s="11" t="n"/>
      <c r="G205" s="3" t="n"/>
      <c r="H205" s="3" t="n"/>
      <c r="I205" s="3">
        <f>IF($A205="","",IF($S205&lt;&gt;"表示",0,IF($H205&gt;0,$H205,IFERROR($E205*$G205,0))))</f>
        <v/>
      </c>
      <c r="J205" s="3" t="n"/>
      <c r="K205" s="11" t="n"/>
      <c r="L205" s="3" t="n"/>
      <c r="M205" s="3" t="n"/>
      <c r="N205" s="3">
        <f>IF($A205="","",IF($S205&lt;&gt;"表示",0,IF($M205&gt;0,$M205,IFERROR($J205*$L205,0))))</f>
        <v/>
      </c>
      <c r="O205" s="3">
        <f>IF($A205="","",$I205-$N205)</f>
        <v/>
      </c>
      <c r="P205" s="3">
        <f>IF($A205="","",IFERROR($O205/$I205,0))</f>
        <v/>
      </c>
      <c r="Q205" s="11" t="n"/>
      <c r="R205" s="11" t="n"/>
      <c r="S205" s="11" t="inlineStr">
        <is>
          <t>表示</t>
        </is>
      </c>
      <c r="T205" s="11" t="n"/>
      <c r="U205" s="11" t="n"/>
      <c r="V205" s="11" t="n"/>
      <c r="W205" s="11" t="n"/>
      <c r="X205" s="11" t="n"/>
      <c r="Y205" s="11" t="n"/>
      <c r="Z205" s="11" t="n"/>
    </row>
    <row r="206" ht="26.75" customHeight="1">
      <c r="A206" s="11" t="n">
        <v>205</v>
      </c>
      <c r="B206" s="11" t="n"/>
      <c r="C206" s="11" t="n"/>
      <c r="D206" s="11" t="n"/>
      <c r="E206" s="3" t="n"/>
      <c r="F206" s="11" t="n"/>
      <c r="G206" s="3" t="n"/>
      <c r="H206" s="3" t="n"/>
      <c r="I206" s="3">
        <f>IF($A206="","",IF($S206&lt;&gt;"表示",0,IF($H206&gt;0,$H206,IFERROR($E206*$G206,0))))</f>
        <v/>
      </c>
      <c r="J206" s="3" t="n"/>
      <c r="K206" s="11" t="n"/>
      <c r="L206" s="3" t="n"/>
      <c r="M206" s="3" t="n"/>
      <c r="N206" s="3">
        <f>IF($A206="","",IF($S206&lt;&gt;"表示",0,IF($M206&gt;0,$M206,IFERROR($J206*$L206,0))))</f>
        <v/>
      </c>
      <c r="O206" s="3">
        <f>IF($A206="","",$I206-$N206)</f>
        <v/>
      </c>
      <c r="P206" s="3">
        <f>IF($A206="","",IFERROR($O206/$I206,0))</f>
        <v/>
      </c>
      <c r="Q206" s="11" t="n"/>
      <c r="R206" s="11" t="n"/>
      <c r="S206" s="11" t="inlineStr">
        <is>
          <t>表示</t>
        </is>
      </c>
      <c r="T206" s="11" t="n"/>
      <c r="U206" s="11" t="n"/>
      <c r="V206" s="11" t="n"/>
      <c r="W206" s="11" t="n"/>
      <c r="X206" s="11" t="n"/>
      <c r="Y206" s="11" t="n"/>
      <c r="Z206" s="11" t="n"/>
    </row>
    <row r="207" ht="26.75" customHeight="1">
      <c r="A207" s="11" t="n">
        <v>206</v>
      </c>
      <c r="B207" s="11" t="n"/>
      <c r="C207" s="11" t="n"/>
      <c r="D207" s="11" t="n"/>
      <c r="E207" s="3" t="n"/>
      <c r="F207" s="11" t="n"/>
      <c r="G207" s="3" t="n"/>
      <c r="H207" s="3" t="n"/>
      <c r="I207" s="3">
        <f>IF($A207="","",IF($S207&lt;&gt;"表示",0,IF($H207&gt;0,$H207,IFERROR($E207*$G207,0))))</f>
        <v/>
      </c>
      <c r="J207" s="3" t="n"/>
      <c r="K207" s="11" t="n"/>
      <c r="L207" s="3" t="n"/>
      <c r="M207" s="3" t="n"/>
      <c r="N207" s="3">
        <f>IF($A207="","",IF($S207&lt;&gt;"表示",0,IF($M207&gt;0,$M207,IFERROR($J207*$L207,0))))</f>
        <v/>
      </c>
      <c r="O207" s="3">
        <f>IF($A207="","",$I207-$N207)</f>
        <v/>
      </c>
      <c r="P207" s="3">
        <f>IF($A207="","",IFERROR($O207/$I207,0))</f>
        <v/>
      </c>
      <c r="Q207" s="11" t="n"/>
      <c r="R207" s="11" t="n"/>
      <c r="S207" s="11" t="inlineStr">
        <is>
          <t>表示</t>
        </is>
      </c>
      <c r="T207" s="11" t="n"/>
      <c r="U207" s="11" t="n"/>
      <c r="V207" s="11" t="n"/>
      <c r="W207" s="11" t="n"/>
      <c r="X207" s="11" t="n"/>
      <c r="Y207" s="11" t="n"/>
      <c r="Z207" s="11" t="n"/>
    </row>
    <row r="208" ht="26.75" customHeight="1">
      <c r="A208" s="11" t="n">
        <v>207</v>
      </c>
      <c r="B208" s="11" t="n"/>
      <c r="C208" s="11" t="n"/>
      <c r="D208" s="11" t="n"/>
      <c r="E208" s="3" t="n"/>
      <c r="F208" s="11" t="n"/>
      <c r="G208" s="3" t="n"/>
      <c r="H208" s="3" t="n"/>
      <c r="I208" s="3">
        <f>IF($A208="","",IF($S208&lt;&gt;"表示",0,IF($H208&gt;0,$H208,IFERROR($E208*$G208,0))))</f>
        <v/>
      </c>
      <c r="J208" s="3" t="n"/>
      <c r="K208" s="11" t="n"/>
      <c r="L208" s="3" t="n"/>
      <c r="M208" s="3" t="n"/>
      <c r="N208" s="3">
        <f>IF($A208="","",IF($S208&lt;&gt;"表示",0,IF($M208&gt;0,$M208,IFERROR($J208*$L208,0))))</f>
        <v/>
      </c>
      <c r="O208" s="3">
        <f>IF($A208="","",$I208-$N208)</f>
        <v/>
      </c>
      <c r="P208" s="3">
        <f>IF($A208="","",IFERROR($O208/$I208,0))</f>
        <v/>
      </c>
      <c r="Q208" s="11" t="n"/>
      <c r="R208" s="11" t="n"/>
      <c r="S208" s="11" t="inlineStr">
        <is>
          <t>表示</t>
        </is>
      </c>
      <c r="T208" s="11" t="n"/>
      <c r="U208" s="11" t="n"/>
      <c r="V208" s="11" t="n"/>
      <c r="W208" s="11" t="n"/>
      <c r="X208" s="11" t="n"/>
      <c r="Y208" s="11" t="n"/>
      <c r="Z208" s="11" t="n"/>
    </row>
    <row r="209" ht="26.75" customHeight="1">
      <c r="A209" s="11" t="n">
        <v>208</v>
      </c>
      <c r="B209" s="11" t="n"/>
      <c r="C209" s="11" t="n"/>
      <c r="D209" s="11" t="n"/>
      <c r="E209" s="3" t="n"/>
      <c r="F209" s="11" t="n"/>
      <c r="G209" s="3" t="n"/>
      <c r="H209" s="3" t="n"/>
      <c r="I209" s="3">
        <f>IF($A209="","",IF($S209&lt;&gt;"表示",0,IF($H209&gt;0,$H209,IFERROR($E209*$G209,0))))</f>
        <v/>
      </c>
      <c r="J209" s="3" t="n"/>
      <c r="K209" s="11" t="n"/>
      <c r="L209" s="3" t="n"/>
      <c r="M209" s="3" t="n"/>
      <c r="N209" s="3">
        <f>IF($A209="","",IF($S209&lt;&gt;"表示",0,IF($M209&gt;0,$M209,IFERROR($J209*$L209,0))))</f>
        <v/>
      </c>
      <c r="O209" s="3">
        <f>IF($A209="","",$I209-$N209)</f>
        <v/>
      </c>
      <c r="P209" s="3">
        <f>IF($A209="","",IFERROR($O209/$I209,0))</f>
        <v/>
      </c>
      <c r="Q209" s="11" t="n"/>
      <c r="R209" s="11" t="n"/>
      <c r="S209" s="11" t="inlineStr">
        <is>
          <t>表示</t>
        </is>
      </c>
      <c r="T209" s="11" t="n"/>
      <c r="U209" s="11" t="n"/>
      <c r="V209" s="11" t="n"/>
      <c r="W209" s="11" t="n"/>
      <c r="X209" s="11" t="n"/>
      <c r="Y209" s="11" t="n"/>
      <c r="Z209" s="11" t="n"/>
    </row>
    <row r="210" ht="26.75" customHeight="1">
      <c r="A210" s="11" t="n">
        <v>209</v>
      </c>
      <c r="B210" s="11" t="n"/>
      <c r="C210" s="11" t="n"/>
      <c r="D210" s="11" t="n"/>
      <c r="E210" s="3" t="n"/>
      <c r="F210" s="11" t="n"/>
      <c r="G210" s="3" t="n"/>
      <c r="H210" s="3" t="n"/>
      <c r="I210" s="3">
        <f>IF($A210="","",IF($S210&lt;&gt;"表示",0,IF($H210&gt;0,$H210,IFERROR($E210*$G210,0))))</f>
        <v/>
      </c>
      <c r="J210" s="3" t="n"/>
      <c r="K210" s="11" t="n"/>
      <c r="L210" s="3" t="n"/>
      <c r="M210" s="3" t="n"/>
      <c r="N210" s="3">
        <f>IF($A210="","",IF($S210&lt;&gt;"表示",0,IF($M210&gt;0,$M210,IFERROR($J210*$L210,0))))</f>
        <v/>
      </c>
      <c r="O210" s="3">
        <f>IF($A210="","",$I210-$N210)</f>
        <v/>
      </c>
      <c r="P210" s="3">
        <f>IF($A210="","",IFERROR($O210/$I210,0))</f>
        <v/>
      </c>
      <c r="Q210" s="11" t="n"/>
      <c r="R210" s="11" t="n"/>
      <c r="S210" s="11" t="inlineStr">
        <is>
          <t>表示</t>
        </is>
      </c>
      <c r="T210" s="11" t="n"/>
      <c r="U210" s="11" t="n"/>
      <c r="V210" s="11" t="n"/>
      <c r="W210" s="11" t="n"/>
      <c r="X210" s="11" t="n"/>
      <c r="Y210" s="11" t="n"/>
      <c r="Z210" s="11" t="n"/>
    </row>
    <row r="211" ht="26.75" customHeight="1">
      <c r="A211" s="11" t="n">
        <v>210</v>
      </c>
      <c r="B211" s="11" t="n"/>
      <c r="C211" s="11" t="n"/>
      <c r="D211" s="11" t="n"/>
      <c r="E211" s="3" t="n"/>
      <c r="F211" s="11" t="n"/>
      <c r="G211" s="3" t="n"/>
      <c r="H211" s="3" t="n"/>
      <c r="I211" s="3">
        <f>IF($A211="","",IF($S211&lt;&gt;"表示",0,IF($H211&gt;0,$H211,IFERROR($E211*$G211,0))))</f>
        <v/>
      </c>
      <c r="J211" s="3" t="n"/>
      <c r="K211" s="11" t="n"/>
      <c r="L211" s="3" t="n"/>
      <c r="M211" s="3" t="n"/>
      <c r="N211" s="3">
        <f>IF($A211="","",IF($S211&lt;&gt;"表示",0,IF($M211&gt;0,$M211,IFERROR($J211*$L211,0))))</f>
        <v/>
      </c>
      <c r="O211" s="3">
        <f>IF($A211="","",$I211-$N211)</f>
        <v/>
      </c>
      <c r="P211" s="3">
        <f>IF($A211="","",IFERROR($O211/$I211,0))</f>
        <v/>
      </c>
      <c r="Q211" s="11" t="n"/>
      <c r="R211" s="11" t="n"/>
      <c r="S211" s="11" t="inlineStr">
        <is>
          <t>表示</t>
        </is>
      </c>
      <c r="T211" s="11" t="n"/>
      <c r="U211" s="11" t="n"/>
      <c r="V211" s="11" t="n"/>
      <c r="W211" s="11" t="n"/>
      <c r="X211" s="11" t="n"/>
      <c r="Y211" s="11" t="n"/>
      <c r="Z211" s="11" t="n"/>
    </row>
    <row r="212" ht="26.75" customHeight="1">
      <c r="A212" s="11" t="n">
        <v>211</v>
      </c>
      <c r="B212" s="11" t="n"/>
      <c r="C212" s="11" t="n"/>
      <c r="D212" s="11" t="n"/>
      <c r="E212" s="3" t="n"/>
      <c r="F212" s="11" t="n"/>
      <c r="G212" s="3" t="n"/>
      <c r="H212" s="3" t="n"/>
      <c r="I212" s="3">
        <f>IF($A212="","",IF($S212&lt;&gt;"表示",0,IF($H212&gt;0,$H212,IFERROR($E212*$G212,0))))</f>
        <v/>
      </c>
      <c r="J212" s="3" t="n"/>
      <c r="K212" s="11" t="n"/>
      <c r="L212" s="3" t="n"/>
      <c r="M212" s="3" t="n"/>
      <c r="N212" s="3">
        <f>IF($A212="","",IF($S212&lt;&gt;"表示",0,IF($M212&gt;0,$M212,IFERROR($J212*$L212,0))))</f>
        <v/>
      </c>
      <c r="O212" s="3">
        <f>IF($A212="","",$I212-$N212)</f>
        <v/>
      </c>
      <c r="P212" s="3">
        <f>IF($A212="","",IFERROR($O212/$I212,0))</f>
        <v/>
      </c>
      <c r="Q212" s="11" t="n"/>
      <c r="R212" s="11" t="n"/>
      <c r="S212" s="11" t="inlineStr">
        <is>
          <t>表示</t>
        </is>
      </c>
      <c r="T212" s="11" t="n"/>
      <c r="U212" s="11" t="n"/>
      <c r="V212" s="11" t="n"/>
      <c r="W212" s="11" t="n"/>
      <c r="X212" s="11" t="n"/>
      <c r="Y212" s="11" t="n"/>
      <c r="Z212" s="11" t="n"/>
    </row>
    <row r="213" ht="26.75" customHeight="1">
      <c r="A213" s="11" t="n">
        <v>212</v>
      </c>
      <c r="B213" s="11" t="n"/>
      <c r="C213" s="11" t="n"/>
      <c r="D213" s="11" t="n"/>
      <c r="E213" s="3" t="n"/>
      <c r="F213" s="11" t="n"/>
      <c r="G213" s="3" t="n"/>
      <c r="H213" s="3" t="n"/>
      <c r="I213" s="3">
        <f>IF($A213="","",IF($S213&lt;&gt;"表示",0,IF($H213&gt;0,$H213,IFERROR($E213*$G213,0))))</f>
        <v/>
      </c>
      <c r="J213" s="3" t="n"/>
      <c r="K213" s="11" t="n"/>
      <c r="L213" s="3" t="n"/>
      <c r="M213" s="3" t="n"/>
      <c r="N213" s="3">
        <f>IF($A213="","",IF($S213&lt;&gt;"表示",0,IF($M213&gt;0,$M213,IFERROR($J213*$L213,0))))</f>
        <v/>
      </c>
      <c r="O213" s="3">
        <f>IF($A213="","",$I213-$N213)</f>
        <v/>
      </c>
      <c r="P213" s="3">
        <f>IF($A213="","",IFERROR($O213/$I213,0))</f>
        <v/>
      </c>
      <c r="Q213" s="11" t="n"/>
      <c r="R213" s="11" t="n"/>
      <c r="S213" s="11" t="inlineStr">
        <is>
          <t>表示</t>
        </is>
      </c>
      <c r="T213" s="11" t="n"/>
      <c r="U213" s="11" t="n"/>
      <c r="V213" s="11" t="n"/>
      <c r="W213" s="11" t="n"/>
      <c r="X213" s="11" t="n"/>
      <c r="Y213" s="11" t="n"/>
      <c r="Z213" s="11" t="n"/>
    </row>
    <row r="214" ht="26.75" customHeight="1">
      <c r="A214" s="11" t="n">
        <v>213</v>
      </c>
      <c r="B214" s="11" t="n"/>
      <c r="C214" s="11" t="n"/>
      <c r="D214" s="11" t="n"/>
      <c r="E214" s="3" t="n"/>
      <c r="F214" s="11" t="n"/>
      <c r="G214" s="3" t="n"/>
      <c r="H214" s="3" t="n"/>
      <c r="I214" s="3">
        <f>IF($A214="","",IF($S214&lt;&gt;"表示",0,IF($H214&gt;0,$H214,IFERROR($E214*$G214,0))))</f>
        <v/>
      </c>
      <c r="J214" s="3" t="n"/>
      <c r="K214" s="11" t="n"/>
      <c r="L214" s="3" t="n"/>
      <c r="M214" s="3" t="n"/>
      <c r="N214" s="3">
        <f>IF($A214="","",IF($S214&lt;&gt;"表示",0,IF($M214&gt;0,$M214,IFERROR($J214*$L214,0))))</f>
        <v/>
      </c>
      <c r="O214" s="3">
        <f>IF($A214="","",$I214-$N214)</f>
        <v/>
      </c>
      <c r="P214" s="3">
        <f>IF($A214="","",IFERROR($O214/$I214,0))</f>
        <v/>
      </c>
      <c r="Q214" s="11" t="n"/>
      <c r="R214" s="11" t="n"/>
      <c r="S214" s="11" t="inlineStr">
        <is>
          <t>表示</t>
        </is>
      </c>
      <c r="T214" s="11" t="n"/>
      <c r="U214" s="11" t="n"/>
      <c r="V214" s="11" t="n"/>
      <c r="W214" s="11" t="n"/>
      <c r="X214" s="11" t="n"/>
      <c r="Y214" s="11" t="n"/>
      <c r="Z214" s="11" t="n"/>
    </row>
    <row r="215" ht="26.75" customHeight="1">
      <c r="A215" s="11" t="n">
        <v>214</v>
      </c>
      <c r="B215" s="11" t="n"/>
      <c r="C215" s="11" t="n"/>
      <c r="D215" s="11" t="n"/>
      <c r="E215" s="3" t="n"/>
      <c r="F215" s="11" t="n"/>
      <c r="G215" s="3" t="n"/>
      <c r="H215" s="3" t="n"/>
      <c r="I215" s="3">
        <f>IF($A215="","",IF($S215&lt;&gt;"表示",0,IF($H215&gt;0,$H215,IFERROR($E215*$G215,0))))</f>
        <v/>
      </c>
      <c r="J215" s="3" t="n"/>
      <c r="K215" s="11" t="n"/>
      <c r="L215" s="3" t="n"/>
      <c r="M215" s="3" t="n"/>
      <c r="N215" s="3">
        <f>IF($A215="","",IF($S215&lt;&gt;"表示",0,IF($M215&gt;0,$M215,IFERROR($J215*$L215,0))))</f>
        <v/>
      </c>
      <c r="O215" s="3">
        <f>IF($A215="","",$I215-$N215)</f>
        <v/>
      </c>
      <c r="P215" s="3">
        <f>IF($A215="","",IFERROR($O215/$I215,0))</f>
        <v/>
      </c>
      <c r="Q215" s="11" t="n"/>
      <c r="R215" s="11" t="n"/>
      <c r="S215" s="11" t="inlineStr">
        <is>
          <t>表示</t>
        </is>
      </c>
      <c r="T215" s="11" t="n"/>
      <c r="U215" s="11" t="n"/>
      <c r="V215" s="11" t="n"/>
      <c r="W215" s="11" t="n"/>
      <c r="X215" s="11" t="n"/>
      <c r="Y215" s="11" t="n"/>
      <c r="Z215" s="11" t="n"/>
    </row>
    <row r="216" ht="26.75" customHeight="1">
      <c r="A216" s="11" t="n">
        <v>215</v>
      </c>
      <c r="B216" s="11" t="n"/>
      <c r="C216" s="11" t="n"/>
      <c r="D216" s="11" t="n"/>
      <c r="E216" s="3" t="n"/>
      <c r="F216" s="11" t="n"/>
      <c r="G216" s="3" t="n"/>
      <c r="H216" s="3" t="n"/>
      <c r="I216" s="3">
        <f>IF($A216="","",IF($S216&lt;&gt;"表示",0,IF($H216&gt;0,$H216,IFERROR($E216*$G216,0))))</f>
        <v/>
      </c>
      <c r="J216" s="3" t="n"/>
      <c r="K216" s="11" t="n"/>
      <c r="L216" s="3" t="n"/>
      <c r="M216" s="3" t="n"/>
      <c r="N216" s="3">
        <f>IF($A216="","",IF($S216&lt;&gt;"表示",0,IF($M216&gt;0,$M216,IFERROR($J216*$L216,0))))</f>
        <v/>
      </c>
      <c r="O216" s="3">
        <f>IF($A216="","",$I216-$N216)</f>
        <v/>
      </c>
      <c r="P216" s="3">
        <f>IF($A216="","",IFERROR($O216/$I216,0))</f>
        <v/>
      </c>
      <c r="Q216" s="11" t="n"/>
      <c r="R216" s="11" t="n"/>
      <c r="S216" s="11" t="inlineStr">
        <is>
          <t>表示</t>
        </is>
      </c>
      <c r="T216" s="11" t="n"/>
      <c r="U216" s="11" t="n"/>
      <c r="V216" s="11" t="n"/>
      <c r="W216" s="11" t="n"/>
      <c r="X216" s="11" t="n"/>
      <c r="Y216" s="11" t="n"/>
      <c r="Z216" s="11" t="n"/>
    </row>
    <row r="217" ht="26.75" customHeight="1">
      <c r="A217" s="11" t="n">
        <v>216</v>
      </c>
      <c r="B217" s="11" t="n"/>
      <c r="C217" s="11" t="n"/>
      <c r="D217" s="11" t="n"/>
      <c r="E217" s="3" t="n"/>
      <c r="F217" s="11" t="n"/>
      <c r="G217" s="3" t="n"/>
      <c r="H217" s="3" t="n"/>
      <c r="I217" s="3">
        <f>IF($A217="","",IF($S217&lt;&gt;"表示",0,IF($H217&gt;0,$H217,IFERROR($E217*$G217,0))))</f>
        <v/>
      </c>
      <c r="J217" s="3" t="n"/>
      <c r="K217" s="11" t="n"/>
      <c r="L217" s="3" t="n"/>
      <c r="M217" s="3" t="n"/>
      <c r="N217" s="3">
        <f>IF($A217="","",IF($S217&lt;&gt;"表示",0,IF($M217&gt;0,$M217,IFERROR($J217*$L217,0))))</f>
        <v/>
      </c>
      <c r="O217" s="3">
        <f>IF($A217="","",$I217-$N217)</f>
        <v/>
      </c>
      <c r="P217" s="3">
        <f>IF($A217="","",IFERROR($O217/$I217,0))</f>
        <v/>
      </c>
      <c r="Q217" s="11" t="n"/>
      <c r="R217" s="11" t="n"/>
      <c r="S217" s="11" t="inlineStr">
        <is>
          <t>表示</t>
        </is>
      </c>
      <c r="T217" s="11" t="n"/>
      <c r="U217" s="11" t="n"/>
      <c r="V217" s="11" t="n"/>
      <c r="W217" s="11" t="n"/>
      <c r="X217" s="11" t="n"/>
      <c r="Y217" s="11" t="n"/>
      <c r="Z217" s="11" t="n"/>
    </row>
    <row r="218" ht="26.75" customHeight="1">
      <c r="A218" s="11" t="n">
        <v>217</v>
      </c>
      <c r="B218" s="11" t="n"/>
      <c r="C218" s="11" t="n"/>
      <c r="D218" s="11" t="n"/>
      <c r="E218" s="3" t="n"/>
      <c r="F218" s="11" t="n"/>
      <c r="G218" s="3" t="n"/>
      <c r="H218" s="3" t="n"/>
      <c r="I218" s="3">
        <f>IF($A218="","",IF($S218&lt;&gt;"表示",0,IF($H218&gt;0,$H218,IFERROR($E218*$G218,0))))</f>
        <v/>
      </c>
      <c r="J218" s="3" t="n"/>
      <c r="K218" s="11" t="n"/>
      <c r="L218" s="3" t="n"/>
      <c r="M218" s="3" t="n"/>
      <c r="N218" s="3">
        <f>IF($A218="","",IF($S218&lt;&gt;"表示",0,IF($M218&gt;0,$M218,IFERROR($J218*$L218,0))))</f>
        <v/>
      </c>
      <c r="O218" s="3">
        <f>IF($A218="","",$I218-$N218)</f>
        <v/>
      </c>
      <c r="P218" s="3">
        <f>IF($A218="","",IFERROR($O218/$I218,0))</f>
        <v/>
      </c>
      <c r="Q218" s="11" t="n"/>
      <c r="R218" s="11" t="n"/>
      <c r="S218" s="11" t="inlineStr">
        <is>
          <t>表示</t>
        </is>
      </c>
      <c r="T218" s="11" t="n"/>
      <c r="U218" s="11" t="n"/>
      <c r="V218" s="11" t="n"/>
      <c r="W218" s="11" t="n"/>
      <c r="X218" s="11" t="n"/>
      <c r="Y218" s="11" t="n"/>
      <c r="Z218" s="11" t="n"/>
    </row>
    <row r="219" ht="26.75" customHeight="1">
      <c r="A219" s="11" t="n">
        <v>218</v>
      </c>
      <c r="B219" s="11" t="n"/>
      <c r="C219" s="11" t="n"/>
      <c r="D219" s="11" t="n"/>
      <c r="E219" s="3" t="n"/>
      <c r="F219" s="11" t="n"/>
      <c r="G219" s="3" t="n"/>
      <c r="H219" s="3" t="n"/>
      <c r="I219" s="3">
        <f>IF($A219="","",IF($S219&lt;&gt;"表示",0,IF($H219&gt;0,$H219,IFERROR($E219*$G219,0))))</f>
        <v/>
      </c>
      <c r="J219" s="3" t="n"/>
      <c r="K219" s="11" t="n"/>
      <c r="L219" s="3" t="n"/>
      <c r="M219" s="3" t="n"/>
      <c r="N219" s="3">
        <f>IF($A219="","",IF($S219&lt;&gt;"表示",0,IF($M219&gt;0,$M219,IFERROR($J219*$L219,0))))</f>
        <v/>
      </c>
      <c r="O219" s="3">
        <f>IF($A219="","",$I219-$N219)</f>
        <v/>
      </c>
      <c r="P219" s="3">
        <f>IF($A219="","",IFERROR($O219/$I219,0))</f>
        <v/>
      </c>
      <c r="Q219" s="11" t="n"/>
      <c r="R219" s="11" t="n"/>
      <c r="S219" s="11" t="inlineStr">
        <is>
          <t>表示</t>
        </is>
      </c>
      <c r="T219" s="11" t="n"/>
      <c r="U219" s="11" t="n"/>
      <c r="V219" s="11" t="n"/>
      <c r="W219" s="11" t="n"/>
      <c r="X219" s="11" t="n"/>
      <c r="Y219" s="11" t="n"/>
      <c r="Z219" s="11" t="n"/>
    </row>
    <row r="220" ht="26.75" customHeight="1">
      <c r="A220" s="11" t="n">
        <v>219</v>
      </c>
      <c r="B220" s="11" t="n"/>
      <c r="C220" s="11" t="n"/>
      <c r="D220" s="11" t="n"/>
      <c r="E220" s="3" t="n"/>
      <c r="F220" s="11" t="n"/>
      <c r="G220" s="3" t="n"/>
      <c r="H220" s="3" t="n"/>
      <c r="I220" s="3">
        <f>IF($A220="","",IF($S220&lt;&gt;"表示",0,IF($H220&gt;0,$H220,IFERROR($E220*$G220,0))))</f>
        <v/>
      </c>
      <c r="J220" s="3" t="n"/>
      <c r="K220" s="11" t="n"/>
      <c r="L220" s="3" t="n"/>
      <c r="M220" s="3" t="n"/>
      <c r="N220" s="3">
        <f>IF($A220="","",IF($S220&lt;&gt;"表示",0,IF($M220&gt;0,$M220,IFERROR($J220*$L220,0))))</f>
        <v/>
      </c>
      <c r="O220" s="3">
        <f>IF($A220="","",$I220-$N220)</f>
        <v/>
      </c>
      <c r="P220" s="3">
        <f>IF($A220="","",IFERROR($O220/$I220,0))</f>
        <v/>
      </c>
      <c r="Q220" s="11" t="n"/>
      <c r="R220" s="11" t="n"/>
      <c r="S220" s="11" t="inlineStr">
        <is>
          <t>表示</t>
        </is>
      </c>
      <c r="T220" s="11" t="n"/>
      <c r="U220" s="11" t="n"/>
      <c r="V220" s="11" t="n"/>
      <c r="W220" s="11" t="n"/>
      <c r="X220" s="11" t="n"/>
      <c r="Y220" s="11" t="n"/>
      <c r="Z220" s="11" t="n"/>
    </row>
    <row r="221" ht="26.75" customHeight="1">
      <c r="A221" s="11" t="n">
        <v>220</v>
      </c>
      <c r="B221" s="11" t="n"/>
      <c r="C221" s="11" t="n"/>
      <c r="D221" s="11" t="n"/>
      <c r="E221" s="3" t="n"/>
      <c r="F221" s="11" t="n"/>
      <c r="G221" s="3" t="n"/>
      <c r="H221" s="3" t="n"/>
      <c r="I221" s="3">
        <f>IF($A221="","",IF($S221&lt;&gt;"表示",0,IF($H221&gt;0,$H221,IFERROR($E221*$G221,0))))</f>
        <v/>
      </c>
      <c r="J221" s="3" t="n"/>
      <c r="K221" s="11" t="n"/>
      <c r="L221" s="3" t="n"/>
      <c r="M221" s="3" t="n"/>
      <c r="N221" s="3">
        <f>IF($A221="","",IF($S221&lt;&gt;"表示",0,IF($M221&gt;0,$M221,IFERROR($J221*$L221,0))))</f>
        <v/>
      </c>
      <c r="O221" s="3">
        <f>IF($A221="","",$I221-$N221)</f>
        <v/>
      </c>
      <c r="P221" s="3">
        <f>IF($A221="","",IFERROR($O221/$I221,0))</f>
        <v/>
      </c>
      <c r="Q221" s="11" t="n"/>
      <c r="R221" s="11" t="n"/>
      <c r="S221" s="11" t="inlineStr">
        <is>
          <t>表示</t>
        </is>
      </c>
      <c r="T221" s="11" t="n"/>
      <c r="U221" s="11" t="n"/>
      <c r="V221" s="11" t="n"/>
      <c r="W221" s="11" t="n"/>
      <c r="X221" s="11" t="n"/>
      <c r="Y221" s="11" t="n"/>
      <c r="Z221" s="11" t="n"/>
    </row>
    <row r="222" ht="26.75" customHeight="1">
      <c r="A222" s="11" t="n">
        <v>221</v>
      </c>
      <c r="B222" s="11" t="n"/>
      <c r="C222" s="11" t="n"/>
      <c r="D222" s="11" t="n"/>
      <c r="E222" s="3" t="n"/>
      <c r="F222" s="11" t="n"/>
      <c r="G222" s="3" t="n"/>
      <c r="H222" s="3" t="n"/>
      <c r="I222" s="3">
        <f>IF($A222="","",IF($S222&lt;&gt;"表示",0,IF($H222&gt;0,$H222,IFERROR($E222*$G222,0))))</f>
        <v/>
      </c>
      <c r="J222" s="3" t="n"/>
      <c r="K222" s="11" t="n"/>
      <c r="L222" s="3" t="n"/>
      <c r="M222" s="3" t="n"/>
      <c r="N222" s="3">
        <f>IF($A222="","",IF($S222&lt;&gt;"表示",0,IF($M222&gt;0,$M222,IFERROR($J222*$L222,0))))</f>
        <v/>
      </c>
      <c r="O222" s="3">
        <f>IF($A222="","",$I222-$N222)</f>
        <v/>
      </c>
      <c r="P222" s="3">
        <f>IF($A222="","",IFERROR($O222/$I222,0))</f>
        <v/>
      </c>
      <c r="Q222" s="11" t="n"/>
      <c r="R222" s="11" t="n"/>
      <c r="S222" s="11" t="inlineStr">
        <is>
          <t>表示</t>
        </is>
      </c>
      <c r="T222" s="11" t="n"/>
      <c r="U222" s="11" t="n"/>
      <c r="V222" s="11" t="n"/>
      <c r="W222" s="11" t="n"/>
      <c r="X222" s="11" t="n"/>
      <c r="Y222" s="11" t="n"/>
      <c r="Z222" s="11" t="n"/>
    </row>
    <row r="223" ht="26.75" customHeight="1">
      <c r="A223" s="11" t="n">
        <v>222</v>
      </c>
      <c r="B223" s="11" t="n"/>
      <c r="C223" s="11" t="n"/>
      <c r="D223" s="11" t="n"/>
      <c r="E223" s="3" t="n"/>
      <c r="F223" s="11" t="n"/>
      <c r="G223" s="3" t="n"/>
      <c r="H223" s="3" t="n"/>
      <c r="I223" s="3">
        <f>IF($A223="","",IF($S223&lt;&gt;"表示",0,IF($H223&gt;0,$H223,IFERROR($E223*$G223,0))))</f>
        <v/>
      </c>
      <c r="J223" s="3" t="n"/>
      <c r="K223" s="11" t="n"/>
      <c r="L223" s="3" t="n"/>
      <c r="M223" s="3" t="n"/>
      <c r="N223" s="3">
        <f>IF($A223="","",IF($S223&lt;&gt;"表示",0,IF($M223&gt;0,$M223,IFERROR($J223*$L223,0))))</f>
        <v/>
      </c>
      <c r="O223" s="3">
        <f>IF($A223="","",$I223-$N223)</f>
        <v/>
      </c>
      <c r="P223" s="3">
        <f>IF($A223="","",IFERROR($O223/$I223,0))</f>
        <v/>
      </c>
      <c r="Q223" s="11" t="n"/>
      <c r="R223" s="11" t="n"/>
      <c r="S223" s="11" t="inlineStr">
        <is>
          <t>表示</t>
        </is>
      </c>
      <c r="T223" s="11" t="n"/>
      <c r="U223" s="11" t="n"/>
      <c r="V223" s="11" t="n"/>
      <c r="W223" s="11" t="n"/>
      <c r="X223" s="11" t="n"/>
      <c r="Y223" s="11" t="n"/>
      <c r="Z223" s="11" t="n"/>
    </row>
    <row r="224" ht="26.75" customHeight="1">
      <c r="A224" s="11" t="n">
        <v>223</v>
      </c>
      <c r="B224" s="11" t="n"/>
      <c r="C224" s="11" t="n"/>
      <c r="D224" s="11" t="n"/>
      <c r="E224" s="3" t="n"/>
      <c r="F224" s="11" t="n"/>
      <c r="G224" s="3" t="n"/>
      <c r="H224" s="3" t="n"/>
      <c r="I224" s="3">
        <f>IF($A224="","",IF($S224&lt;&gt;"表示",0,IF($H224&gt;0,$H224,IFERROR($E224*$G224,0))))</f>
        <v/>
      </c>
      <c r="J224" s="3" t="n"/>
      <c r="K224" s="11" t="n"/>
      <c r="L224" s="3" t="n"/>
      <c r="M224" s="3" t="n"/>
      <c r="N224" s="3">
        <f>IF($A224="","",IF($S224&lt;&gt;"表示",0,IF($M224&gt;0,$M224,IFERROR($J224*$L224,0))))</f>
        <v/>
      </c>
      <c r="O224" s="3">
        <f>IF($A224="","",$I224-$N224)</f>
        <v/>
      </c>
      <c r="P224" s="3">
        <f>IF($A224="","",IFERROR($O224/$I224,0))</f>
        <v/>
      </c>
      <c r="Q224" s="11" t="n"/>
      <c r="R224" s="11" t="n"/>
      <c r="S224" s="11" t="inlineStr">
        <is>
          <t>表示</t>
        </is>
      </c>
      <c r="T224" s="11" t="n"/>
      <c r="U224" s="11" t="n"/>
      <c r="V224" s="11" t="n"/>
      <c r="W224" s="11" t="n"/>
      <c r="X224" s="11" t="n"/>
      <c r="Y224" s="11" t="n"/>
      <c r="Z224" s="11" t="n"/>
    </row>
    <row r="225" ht="26.75" customHeight="1">
      <c r="A225" s="11" t="n">
        <v>224</v>
      </c>
      <c r="B225" s="11" t="n"/>
      <c r="C225" s="11" t="n"/>
      <c r="D225" s="11" t="n"/>
      <c r="E225" s="3" t="n"/>
      <c r="F225" s="11" t="n"/>
      <c r="G225" s="3" t="n"/>
      <c r="H225" s="3" t="n"/>
      <c r="I225" s="3">
        <f>IF($A225="","",IF($S225&lt;&gt;"表示",0,IF($H225&gt;0,$H225,IFERROR($E225*$G225,0))))</f>
        <v/>
      </c>
      <c r="J225" s="3" t="n"/>
      <c r="K225" s="11" t="n"/>
      <c r="L225" s="3" t="n"/>
      <c r="M225" s="3" t="n"/>
      <c r="N225" s="3">
        <f>IF($A225="","",IF($S225&lt;&gt;"表示",0,IF($M225&gt;0,$M225,IFERROR($J225*$L225,0))))</f>
        <v/>
      </c>
      <c r="O225" s="3">
        <f>IF($A225="","",$I225-$N225)</f>
        <v/>
      </c>
      <c r="P225" s="3">
        <f>IF($A225="","",IFERROR($O225/$I225,0))</f>
        <v/>
      </c>
      <c r="Q225" s="11" t="n"/>
      <c r="R225" s="11" t="n"/>
      <c r="S225" s="11" t="inlineStr">
        <is>
          <t>表示</t>
        </is>
      </c>
      <c r="T225" s="11" t="n"/>
      <c r="U225" s="11" t="n"/>
      <c r="V225" s="11" t="n"/>
      <c r="W225" s="11" t="n"/>
      <c r="X225" s="11" t="n"/>
      <c r="Y225" s="11" t="n"/>
      <c r="Z225" s="11" t="n"/>
    </row>
    <row r="226" ht="26.75" customHeight="1">
      <c r="A226" s="11" t="n">
        <v>225</v>
      </c>
      <c r="B226" s="11" t="n"/>
      <c r="C226" s="11" t="n"/>
      <c r="D226" s="11" t="n"/>
      <c r="E226" s="3" t="n"/>
      <c r="F226" s="11" t="n"/>
      <c r="G226" s="3" t="n"/>
      <c r="H226" s="3" t="n"/>
      <c r="I226" s="3">
        <f>IF($A226="","",IF($S226&lt;&gt;"表示",0,IF($H226&gt;0,$H226,IFERROR($E226*$G226,0))))</f>
        <v/>
      </c>
      <c r="J226" s="3" t="n"/>
      <c r="K226" s="11" t="n"/>
      <c r="L226" s="3" t="n"/>
      <c r="M226" s="3" t="n"/>
      <c r="N226" s="3">
        <f>IF($A226="","",IF($S226&lt;&gt;"表示",0,IF($M226&gt;0,$M226,IFERROR($J226*$L226,0))))</f>
        <v/>
      </c>
      <c r="O226" s="3">
        <f>IF($A226="","",$I226-$N226)</f>
        <v/>
      </c>
      <c r="P226" s="3">
        <f>IF($A226="","",IFERROR($O226/$I226,0))</f>
        <v/>
      </c>
      <c r="Q226" s="11" t="n"/>
      <c r="R226" s="11" t="n"/>
      <c r="S226" s="11" t="inlineStr">
        <is>
          <t>表示</t>
        </is>
      </c>
      <c r="T226" s="11" t="n"/>
      <c r="U226" s="11" t="n"/>
      <c r="V226" s="11" t="n"/>
      <c r="W226" s="11" t="n"/>
      <c r="X226" s="11" t="n"/>
      <c r="Y226" s="11" t="n"/>
      <c r="Z226" s="11" t="n"/>
    </row>
    <row r="227" ht="26.75" customHeight="1">
      <c r="A227" s="11" t="n">
        <v>226</v>
      </c>
      <c r="B227" s="11" t="n"/>
      <c r="C227" s="11" t="n"/>
      <c r="D227" s="11" t="n"/>
      <c r="E227" s="3" t="n"/>
      <c r="F227" s="11" t="n"/>
      <c r="G227" s="3" t="n"/>
      <c r="H227" s="3" t="n"/>
      <c r="I227" s="3">
        <f>IF($A227="","",IF($S227&lt;&gt;"表示",0,IF($H227&gt;0,$H227,IFERROR($E227*$G227,0))))</f>
        <v/>
      </c>
      <c r="J227" s="3" t="n"/>
      <c r="K227" s="11" t="n"/>
      <c r="L227" s="3" t="n"/>
      <c r="M227" s="3" t="n"/>
      <c r="N227" s="3">
        <f>IF($A227="","",IF($S227&lt;&gt;"表示",0,IF($M227&gt;0,$M227,IFERROR($J227*$L227,0))))</f>
        <v/>
      </c>
      <c r="O227" s="3">
        <f>IF($A227="","",$I227-$N227)</f>
        <v/>
      </c>
      <c r="P227" s="3">
        <f>IF($A227="","",IFERROR($O227/$I227,0))</f>
        <v/>
      </c>
      <c r="Q227" s="11" t="n"/>
      <c r="R227" s="11" t="n"/>
      <c r="S227" s="11" t="inlineStr">
        <is>
          <t>表示</t>
        </is>
      </c>
      <c r="T227" s="11" t="n"/>
      <c r="U227" s="11" t="n"/>
      <c r="V227" s="11" t="n"/>
      <c r="W227" s="11" t="n"/>
      <c r="X227" s="11" t="n"/>
      <c r="Y227" s="11" t="n"/>
      <c r="Z227" s="11" t="n"/>
    </row>
    <row r="228" ht="26.75" customHeight="1">
      <c r="A228" s="11" t="n">
        <v>227</v>
      </c>
      <c r="B228" s="11" t="n"/>
      <c r="C228" s="11" t="n"/>
      <c r="D228" s="11" t="n"/>
      <c r="E228" s="3" t="n"/>
      <c r="F228" s="11" t="n"/>
      <c r="G228" s="3" t="n"/>
      <c r="H228" s="3" t="n"/>
      <c r="I228" s="3">
        <f>IF($A228="","",IF($S228&lt;&gt;"表示",0,IF($H228&gt;0,$H228,IFERROR($E228*$G228,0))))</f>
        <v/>
      </c>
      <c r="J228" s="3" t="n"/>
      <c r="K228" s="11" t="n"/>
      <c r="L228" s="3" t="n"/>
      <c r="M228" s="3" t="n"/>
      <c r="N228" s="3">
        <f>IF($A228="","",IF($S228&lt;&gt;"表示",0,IF($M228&gt;0,$M228,IFERROR($J228*$L228,0))))</f>
        <v/>
      </c>
      <c r="O228" s="3">
        <f>IF($A228="","",$I228-$N228)</f>
        <v/>
      </c>
      <c r="P228" s="3">
        <f>IF($A228="","",IFERROR($O228/$I228,0))</f>
        <v/>
      </c>
      <c r="Q228" s="11" t="n"/>
      <c r="R228" s="11" t="n"/>
      <c r="S228" s="11" t="inlineStr">
        <is>
          <t>表示</t>
        </is>
      </c>
      <c r="T228" s="11" t="n"/>
      <c r="U228" s="11" t="n"/>
      <c r="V228" s="11" t="n"/>
      <c r="W228" s="11" t="n"/>
      <c r="X228" s="11" t="n"/>
      <c r="Y228" s="11" t="n"/>
      <c r="Z228" s="11" t="n"/>
    </row>
    <row r="229" ht="26.75" customHeight="1">
      <c r="A229" s="11" t="n">
        <v>228</v>
      </c>
      <c r="B229" s="11" t="n"/>
      <c r="C229" s="11" t="n"/>
      <c r="D229" s="11" t="n"/>
      <c r="E229" s="3" t="n"/>
      <c r="F229" s="11" t="n"/>
      <c r="G229" s="3" t="n"/>
      <c r="H229" s="3" t="n"/>
      <c r="I229" s="3">
        <f>IF($A229="","",IF($S229&lt;&gt;"表示",0,IF($H229&gt;0,$H229,IFERROR($E229*$G229,0))))</f>
        <v/>
      </c>
      <c r="J229" s="3" t="n"/>
      <c r="K229" s="11" t="n"/>
      <c r="L229" s="3" t="n"/>
      <c r="M229" s="3" t="n"/>
      <c r="N229" s="3">
        <f>IF($A229="","",IF($S229&lt;&gt;"表示",0,IF($M229&gt;0,$M229,IFERROR($J229*$L229,0))))</f>
        <v/>
      </c>
      <c r="O229" s="3">
        <f>IF($A229="","",$I229-$N229)</f>
        <v/>
      </c>
      <c r="P229" s="3">
        <f>IF($A229="","",IFERROR($O229/$I229,0))</f>
        <v/>
      </c>
      <c r="Q229" s="11" t="n"/>
      <c r="R229" s="11" t="n"/>
      <c r="S229" s="11" t="inlineStr">
        <is>
          <t>表示</t>
        </is>
      </c>
      <c r="T229" s="11" t="n"/>
      <c r="U229" s="11" t="n"/>
      <c r="V229" s="11" t="n"/>
      <c r="W229" s="11" t="n"/>
      <c r="X229" s="11" t="n"/>
      <c r="Y229" s="11" t="n"/>
      <c r="Z229" s="11" t="n"/>
    </row>
    <row r="230" ht="26.75" customHeight="1">
      <c r="A230" s="11" t="n">
        <v>229</v>
      </c>
      <c r="B230" s="11" t="n"/>
      <c r="C230" s="11" t="n"/>
      <c r="D230" s="11" t="n"/>
      <c r="E230" s="3" t="n"/>
      <c r="F230" s="11" t="n"/>
      <c r="G230" s="3" t="n"/>
      <c r="H230" s="3" t="n"/>
      <c r="I230" s="3">
        <f>IF($A230="","",IF($S230&lt;&gt;"表示",0,IF($H230&gt;0,$H230,IFERROR($E230*$G230,0))))</f>
        <v/>
      </c>
      <c r="J230" s="3" t="n"/>
      <c r="K230" s="11" t="n"/>
      <c r="L230" s="3" t="n"/>
      <c r="M230" s="3" t="n"/>
      <c r="N230" s="3">
        <f>IF($A230="","",IF($S230&lt;&gt;"表示",0,IF($M230&gt;0,$M230,IFERROR($J230*$L230,0))))</f>
        <v/>
      </c>
      <c r="O230" s="3">
        <f>IF($A230="","",$I230-$N230)</f>
        <v/>
      </c>
      <c r="P230" s="3">
        <f>IF($A230="","",IFERROR($O230/$I230,0))</f>
        <v/>
      </c>
      <c r="Q230" s="11" t="n"/>
      <c r="R230" s="11" t="n"/>
      <c r="S230" s="11" t="inlineStr">
        <is>
          <t>表示</t>
        </is>
      </c>
      <c r="T230" s="11" t="n"/>
      <c r="U230" s="11" t="n"/>
      <c r="V230" s="11" t="n"/>
      <c r="W230" s="11" t="n"/>
      <c r="X230" s="11" t="n"/>
      <c r="Y230" s="11" t="n"/>
      <c r="Z230" s="11" t="n"/>
    </row>
    <row r="231" ht="26.75" customHeight="1">
      <c r="A231" s="11" t="n">
        <v>230</v>
      </c>
      <c r="B231" s="11" t="n"/>
      <c r="C231" s="11" t="n"/>
      <c r="D231" s="11" t="n"/>
      <c r="E231" s="3" t="n"/>
      <c r="F231" s="11" t="n"/>
      <c r="G231" s="3" t="n"/>
      <c r="H231" s="3" t="n"/>
      <c r="I231" s="3">
        <f>IF($A231="","",IF($S231&lt;&gt;"表示",0,IF($H231&gt;0,$H231,IFERROR($E231*$G231,0))))</f>
        <v/>
      </c>
      <c r="J231" s="3" t="n"/>
      <c r="K231" s="11" t="n"/>
      <c r="L231" s="3" t="n"/>
      <c r="M231" s="3" t="n"/>
      <c r="N231" s="3">
        <f>IF($A231="","",IF($S231&lt;&gt;"表示",0,IF($M231&gt;0,$M231,IFERROR($J231*$L231,0))))</f>
        <v/>
      </c>
      <c r="O231" s="3">
        <f>IF($A231="","",$I231-$N231)</f>
        <v/>
      </c>
      <c r="P231" s="3">
        <f>IF($A231="","",IFERROR($O231/$I231,0))</f>
        <v/>
      </c>
      <c r="Q231" s="11" t="n"/>
      <c r="R231" s="11" t="n"/>
      <c r="S231" s="11" t="inlineStr">
        <is>
          <t>表示</t>
        </is>
      </c>
      <c r="T231" s="11" t="n"/>
      <c r="U231" s="11" t="n"/>
      <c r="V231" s="11" t="n"/>
      <c r="W231" s="11" t="n"/>
      <c r="X231" s="11" t="n"/>
      <c r="Y231" s="11" t="n"/>
      <c r="Z231" s="11" t="n"/>
    </row>
    <row r="232" ht="26.75" customHeight="1">
      <c r="A232" s="11" t="n">
        <v>231</v>
      </c>
      <c r="B232" s="11" t="n"/>
      <c r="C232" s="11" t="n"/>
      <c r="D232" s="11" t="n"/>
      <c r="E232" s="3" t="n"/>
      <c r="F232" s="11" t="n"/>
      <c r="G232" s="3" t="n"/>
      <c r="H232" s="3" t="n"/>
      <c r="I232" s="3">
        <f>IF($A232="","",IF($S232&lt;&gt;"表示",0,IF($H232&gt;0,$H232,IFERROR($E232*$G232,0))))</f>
        <v/>
      </c>
      <c r="J232" s="3" t="n"/>
      <c r="K232" s="11" t="n"/>
      <c r="L232" s="3" t="n"/>
      <c r="M232" s="3" t="n"/>
      <c r="N232" s="3">
        <f>IF($A232="","",IF($S232&lt;&gt;"表示",0,IF($M232&gt;0,$M232,IFERROR($J232*$L232,0))))</f>
        <v/>
      </c>
      <c r="O232" s="3">
        <f>IF($A232="","",$I232-$N232)</f>
        <v/>
      </c>
      <c r="P232" s="3">
        <f>IF($A232="","",IFERROR($O232/$I232,0))</f>
        <v/>
      </c>
      <c r="Q232" s="11" t="n"/>
      <c r="R232" s="11" t="n"/>
      <c r="S232" s="11" t="inlineStr">
        <is>
          <t>表示</t>
        </is>
      </c>
      <c r="T232" s="11" t="n"/>
      <c r="U232" s="11" t="n"/>
      <c r="V232" s="11" t="n"/>
      <c r="W232" s="11" t="n"/>
      <c r="X232" s="11" t="n"/>
      <c r="Y232" s="11" t="n"/>
      <c r="Z232" s="11" t="n"/>
    </row>
    <row r="233" ht="26.75" customHeight="1">
      <c r="A233" s="11" t="n">
        <v>232</v>
      </c>
      <c r="B233" s="11" t="n"/>
      <c r="C233" s="11" t="n"/>
      <c r="D233" s="11" t="n"/>
      <c r="E233" s="3" t="n"/>
      <c r="F233" s="11" t="n"/>
      <c r="G233" s="3" t="n"/>
      <c r="H233" s="3" t="n"/>
      <c r="I233" s="3">
        <f>IF($A233="","",IF($S233&lt;&gt;"表示",0,IF($H233&gt;0,$H233,IFERROR($E233*$G233,0))))</f>
        <v/>
      </c>
      <c r="J233" s="3" t="n"/>
      <c r="K233" s="11" t="n"/>
      <c r="L233" s="3" t="n"/>
      <c r="M233" s="3" t="n"/>
      <c r="N233" s="3">
        <f>IF($A233="","",IF($S233&lt;&gt;"表示",0,IF($M233&gt;0,$M233,IFERROR($J233*$L233,0))))</f>
        <v/>
      </c>
      <c r="O233" s="3">
        <f>IF($A233="","",$I233-$N233)</f>
        <v/>
      </c>
      <c r="P233" s="3">
        <f>IF($A233="","",IFERROR($O233/$I233,0))</f>
        <v/>
      </c>
      <c r="Q233" s="11" t="n"/>
      <c r="R233" s="11" t="n"/>
      <c r="S233" s="11" t="inlineStr">
        <is>
          <t>表示</t>
        </is>
      </c>
      <c r="T233" s="11" t="n"/>
      <c r="U233" s="11" t="n"/>
      <c r="V233" s="11" t="n"/>
      <c r="W233" s="11" t="n"/>
      <c r="X233" s="11" t="n"/>
      <c r="Y233" s="11" t="n"/>
      <c r="Z233" s="11" t="n"/>
    </row>
    <row r="234" ht="26.75" customHeight="1">
      <c r="A234" s="11" t="n">
        <v>233</v>
      </c>
      <c r="B234" s="11" t="n"/>
      <c r="C234" s="11" t="n"/>
      <c r="D234" s="11" t="n"/>
      <c r="E234" s="3" t="n"/>
      <c r="F234" s="11" t="n"/>
      <c r="G234" s="3" t="n"/>
      <c r="H234" s="3" t="n"/>
      <c r="I234" s="3">
        <f>IF($A234="","",IF($S234&lt;&gt;"表示",0,IF($H234&gt;0,$H234,IFERROR($E234*$G234,0))))</f>
        <v/>
      </c>
      <c r="J234" s="3" t="n"/>
      <c r="K234" s="11" t="n"/>
      <c r="L234" s="3" t="n"/>
      <c r="M234" s="3" t="n"/>
      <c r="N234" s="3">
        <f>IF($A234="","",IF($S234&lt;&gt;"表示",0,IF($M234&gt;0,$M234,IFERROR($J234*$L234,0))))</f>
        <v/>
      </c>
      <c r="O234" s="3">
        <f>IF($A234="","",$I234-$N234)</f>
        <v/>
      </c>
      <c r="P234" s="3">
        <f>IF($A234="","",IFERROR($O234/$I234,0))</f>
        <v/>
      </c>
      <c r="Q234" s="11" t="n"/>
      <c r="R234" s="11" t="n"/>
      <c r="S234" s="11" t="inlineStr">
        <is>
          <t>表示</t>
        </is>
      </c>
      <c r="T234" s="11" t="n"/>
      <c r="U234" s="11" t="n"/>
      <c r="V234" s="11" t="n"/>
      <c r="W234" s="11" t="n"/>
      <c r="X234" s="11" t="n"/>
      <c r="Y234" s="11" t="n"/>
      <c r="Z234" s="11" t="n"/>
    </row>
    <row r="235" ht="26.75" customHeight="1">
      <c r="A235" s="11" t="n">
        <v>234</v>
      </c>
      <c r="B235" s="11" t="n"/>
      <c r="C235" s="11" t="n"/>
      <c r="D235" s="11" t="n"/>
      <c r="E235" s="3" t="n"/>
      <c r="F235" s="11" t="n"/>
      <c r="G235" s="3" t="n"/>
      <c r="H235" s="3" t="n"/>
      <c r="I235" s="3">
        <f>IF($A235="","",IF($S235&lt;&gt;"表示",0,IF($H235&gt;0,$H235,IFERROR($E235*$G235,0))))</f>
        <v/>
      </c>
      <c r="J235" s="3" t="n"/>
      <c r="K235" s="11" t="n"/>
      <c r="L235" s="3" t="n"/>
      <c r="M235" s="3" t="n"/>
      <c r="N235" s="3">
        <f>IF($A235="","",IF($S235&lt;&gt;"表示",0,IF($M235&gt;0,$M235,IFERROR($J235*$L235,0))))</f>
        <v/>
      </c>
      <c r="O235" s="3">
        <f>IF($A235="","",$I235-$N235)</f>
        <v/>
      </c>
      <c r="P235" s="3">
        <f>IF($A235="","",IFERROR($O235/$I235,0))</f>
        <v/>
      </c>
      <c r="Q235" s="11" t="n"/>
      <c r="R235" s="11" t="n"/>
      <c r="S235" s="11" t="inlineStr">
        <is>
          <t>表示</t>
        </is>
      </c>
      <c r="T235" s="11" t="n"/>
      <c r="U235" s="11" t="n"/>
      <c r="V235" s="11" t="n"/>
      <c r="W235" s="11" t="n"/>
      <c r="X235" s="11" t="n"/>
      <c r="Y235" s="11" t="n"/>
      <c r="Z235" s="11" t="n"/>
    </row>
    <row r="236" ht="26.75" customHeight="1">
      <c r="A236" s="11" t="n">
        <v>235</v>
      </c>
      <c r="B236" s="11" t="n"/>
      <c r="C236" s="11" t="n"/>
      <c r="D236" s="11" t="n"/>
      <c r="E236" s="3" t="n"/>
      <c r="F236" s="11" t="n"/>
      <c r="G236" s="3" t="n"/>
      <c r="H236" s="3" t="n"/>
      <c r="I236" s="3">
        <f>IF($A236="","",IF($S236&lt;&gt;"表示",0,IF($H236&gt;0,$H236,IFERROR($E236*$G236,0))))</f>
        <v/>
      </c>
      <c r="J236" s="3" t="n"/>
      <c r="K236" s="11" t="n"/>
      <c r="L236" s="3" t="n"/>
      <c r="M236" s="3" t="n"/>
      <c r="N236" s="3">
        <f>IF($A236="","",IF($S236&lt;&gt;"表示",0,IF($M236&gt;0,$M236,IFERROR($J236*$L236,0))))</f>
        <v/>
      </c>
      <c r="O236" s="3">
        <f>IF($A236="","",$I236-$N236)</f>
        <v/>
      </c>
      <c r="P236" s="3">
        <f>IF($A236="","",IFERROR($O236/$I236,0))</f>
        <v/>
      </c>
      <c r="Q236" s="11" t="n"/>
      <c r="R236" s="11" t="n"/>
      <c r="S236" s="11" t="inlineStr">
        <is>
          <t>表示</t>
        </is>
      </c>
      <c r="T236" s="11" t="n"/>
      <c r="U236" s="11" t="n"/>
      <c r="V236" s="11" t="n"/>
      <c r="W236" s="11" t="n"/>
      <c r="X236" s="11" t="n"/>
      <c r="Y236" s="11" t="n"/>
      <c r="Z236" s="11" t="n"/>
    </row>
    <row r="237" ht="26.75" customHeight="1">
      <c r="A237" s="11" t="n">
        <v>236</v>
      </c>
      <c r="B237" s="11" t="n"/>
      <c r="C237" s="11" t="n"/>
      <c r="D237" s="11" t="n"/>
      <c r="E237" s="3" t="n"/>
      <c r="F237" s="11" t="n"/>
      <c r="G237" s="3" t="n"/>
      <c r="H237" s="3" t="n"/>
      <c r="I237" s="3">
        <f>IF($A237="","",IF($S237&lt;&gt;"表示",0,IF($H237&gt;0,$H237,IFERROR($E237*$G237,0))))</f>
        <v/>
      </c>
      <c r="J237" s="3" t="n"/>
      <c r="K237" s="11" t="n"/>
      <c r="L237" s="3" t="n"/>
      <c r="M237" s="3" t="n"/>
      <c r="N237" s="3">
        <f>IF($A237="","",IF($S237&lt;&gt;"表示",0,IF($M237&gt;0,$M237,IFERROR($J237*$L237,0))))</f>
        <v/>
      </c>
      <c r="O237" s="3">
        <f>IF($A237="","",$I237-$N237)</f>
        <v/>
      </c>
      <c r="P237" s="3">
        <f>IF($A237="","",IFERROR($O237/$I237,0))</f>
        <v/>
      </c>
      <c r="Q237" s="11" t="n"/>
      <c r="R237" s="11" t="n"/>
      <c r="S237" s="11" t="inlineStr">
        <is>
          <t>表示</t>
        </is>
      </c>
      <c r="T237" s="11" t="n"/>
      <c r="U237" s="11" t="n"/>
      <c r="V237" s="11" t="n"/>
      <c r="W237" s="11" t="n"/>
      <c r="X237" s="11" t="n"/>
      <c r="Y237" s="11" t="n"/>
      <c r="Z237" s="11" t="n"/>
    </row>
    <row r="238" ht="26.75" customHeight="1">
      <c r="A238" s="11" t="n">
        <v>237</v>
      </c>
      <c r="B238" s="11" t="n"/>
      <c r="C238" s="11" t="n"/>
      <c r="D238" s="11" t="n"/>
      <c r="E238" s="3" t="n"/>
      <c r="F238" s="11" t="n"/>
      <c r="G238" s="3" t="n"/>
      <c r="H238" s="3" t="n"/>
      <c r="I238" s="3">
        <f>IF($A238="","",IF($S238&lt;&gt;"表示",0,IF($H238&gt;0,$H238,IFERROR($E238*$G238,0))))</f>
        <v/>
      </c>
      <c r="J238" s="3" t="n"/>
      <c r="K238" s="11" t="n"/>
      <c r="L238" s="3" t="n"/>
      <c r="M238" s="3" t="n"/>
      <c r="N238" s="3">
        <f>IF($A238="","",IF($S238&lt;&gt;"表示",0,IF($M238&gt;0,$M238,IFERROR($J238*$L238,0))))</f>
        <v/>
      </c>
      <c r="O238" s="3">
        <f>IF($A238="","",$I238-$N238)</f>
        <v/>
      </c>
      <c r="P238" s="3">
        <f>IF($A238="","",IFERROR($O238/$I238,0))</f>
        <v/>
      </c>
      <c r="Q238" s="11" t="n"/>
      <c r="R238" s="11" t="n"/>
      <c r="S238" s="11" t="inlineStr">
        <is>
          <t>表示</t>
        </is>
      </c>
      <c r="T238" s="11" t="n"/>
      <c r="U238" s="11" t="n"/>
      <c r="V238" s="11" t="n"/>
      <c r="W238" s="11" t="n"/>
      <c r="X238" s="11" t="n"/>
      <c r="Y238" s="11" t="n"/>
      <c r="Z238" s="11" t="n"/>
    </row>
    <row r="239" ht="26.75" customHeight="1">
      <c r="A239" s="11" t="n">
        <v>238</v>
      </c>
      <c r="B239" s="11" t="n"/>
      <c r="C239" s="11" t="n"/>
      <c r="D239" s="11" t="n"/>
      <c r="E239" s="3" t="n"/>
      <c r="F239" s="11" t="n"/>
      <c r="G239" s="3" t="n"/>
      <c r="H239" s="3" t="n"/>
      <c r="I239" s="3">
        <f>IF($A239="","",IF($S239&lt;&gt;"表示",0,IF($H239&gt;0,$H239,IFERROR($E239*$G239,0))))</f>
        <v/>
      </c>
      <c r="J239" s="3" t="n"/>
      <c r="K239" s="11" t="n"/>
      <c r="L239" s="3" t="n"/>
      <c r="M239" s="3" t="n"/>
      <c r="N239" s="3">
        <f>IF($A239="","",IF($S239&lt;&gt;"表示",0,IF($M239&gt;0,$M239,IFERROR($J239*$L239,0))))</f>
        <v/>
      </c>
      <c r="O239" s="3">
        <f>IF($A239="","",$I239-$N239)</f>
        <v/>
      </c>
      <c r="P239" s="3">
        <f>IF($A239="","",IFERROR($O239/$I239,0))</f>
        <v/>
      </c>
      <c r="Q239" s="11" t="n"/>
      <c r="R239" s="11" t="n"/>
      <c r="S239" s="11" t="inlineStr">
        <is>
          <t>表示</t>
        </is>
      </c>
      <c r="T239" s="11" t="n"/>
      <c r="U239" s="11" t="n"/>
      <c r="V239" s="11" t="n"/>
      <c r="W239" s="11" t="n"/>
      <c r="X239" s="11" t="n"/>
      <c r="Y239" s="11" t="n"/>
      <c r="Z239" s="11" t="n"/>
    </row>
    <row r="240" ht="26.75" customHeight="1">
      <c r="A240" s="11" t="n">
        <v>239</v>
      </c>
      <c r="B240" s="11" t="n"/>
      <c r="C240" s="11" t="n"/>
      <c r="D240" s="11" t="n"/>
      <c r="E240" s="3" t="n"/>
      <c r="F240" s="11" t="n"/>
      <c r="G240" s="3" t="n"/>
      <c r="H240" s="3" t="n"/>
      <c r="I240" s="3">
        <f>IF($A240="","",IF($S240&lt;&gt;"表示",0,IF($H240&gt;0,$H240,IFERROR($E240*$G240,0))))</f>
        <v/>
      </c>
      <c r="J240" s="3" t="n"/>
      <c r="K240" s="11" t="n"/>
      <c r="L240" s="3" t="n"/>
      <c r="M240" s="3" t="n"/>
      <c r="N240" s="3">
        <f>IF($A240="","",IF($S240&lt;&gt;"表示",0,IF($M240&gt;0,$M240,IFERROR($J240*$L240,0))))</f>
        <v/>
      </c>
      <c r="O240" s="3">
        <f>IF($A240="","",$I240-$N240)</f>
        <v/>
      </c>
      <c r="P240" s="3">
        <f>IF($A240="","",IFERROR($O240/$I240,0))</f>
        <v/>
      </c>
      <c r="Q240" s="11" t="n"/>
      <c r="R240" s="11" t="n"/>
      <c r="S240" s="11" t="inlineStr">
        <is>
          <t>表示</t>
        </is>
      </c>
      <c r="T240" s="11" t="n"/>
      <c r="U240" s="11" t="n"/>
      <c r="V240" s="11" t="n"/>
      <c r="W240" s="11" t="n"/>
      <c r="X240" s="11" t="n"/>
      <c r="Y240" s="11" t="n"/>
      <c r="Z240" s="11" t="n"/>
    </row>
    <row r="241" ht="26.75" customHeight="1">
      <c r="A241" s="11" t="n">
        <v>240</v>
      </c>
      <c r="B241" s="11" t="n"/>
      <c r="C241" s="11" t="n"/>
      <c r="D241" s="11" t="n"/>
      <c r="E241" s="3" t="n"/>
      <c r="F241" s="11" t="n"/>
      <c r="G241" s="3" t="n"/>
      <c r="H241" s="3" t="n"/>
      <c r="I241" s="3">
        <f>IF($A241="","",IF($S241&lt;&gt;"表示",0,IF($H241&gt;0,$H241,IFERROR($E241*$G241,0))))</f>
        <v/>
      </c>
      <c r="J241" s="3" t="n"/>
      <c r="K241" s="11" t="n"/>
      <c r="L241" s="3" t="n"/>
      <c r="M241" s="3" t="n"/>
      <c r="N241" s="3">
        <f>IF($A241="","",IF($S241&lt;&gt;"表示",0,IF($M241&gt;0,$M241,IFERROR($J241*$L241,0))))</f>
        <v/>
      </c>
      <c r="O241" s="3">
        <f>IF($A241="","",$I241-$N241)</f>
        <v/>
      </c>
      <c r="P241" s="3">
        <f>IF($A241="","",IFERROR($O241/$I241,0))</f>
        <v/>
      </c>
      <c r="Q241" s="11" t="n"/>
      <c r="R241" s="11" t="n"/>
      <c r="S241" s="11" t="inlineStr">
        <is>
          <t>表示</t>
        </is>
      </c>
      <c r="T241" s="11" t="n"/>
      <c r="U241" s="11" t="n"/>
      <c r="V241" s="11" t="n"/>
      <c r="W241" s="11" t="n"/>
      <c r="X241" s="11" t="n"/>
      <c r="Y241" s="11" t="n"/>
      <c r="Z241" s="11" t="n"/>
    </row>
    <row r="242" ht="26.75" customHeight="1">
      <c r="A242" s="11" t="n">
        <v>241</v>
      </c>
      <c r="B242" s="11" t="n"/>
      <c r="C242" s="11" t="n"/>
      <c r="D242" s="11" t="n"/>
      <c r="E242" s="3" t="n"/>
      <c r="F242" s="11" t="n"/>
      <c r="G242" s="3" t="n"/>
      <c r="H242" s="3" t="n"/>
      <c r="I242" s="3">
        <f>IF($A242="","",IF($S242&lt;&gt;"表示",0,IF($H242&gt;0,$H242,IFERROR($E242*$G242,0))))</f>
        <v/>
      </c>
      <c r="J242" s="3" t="n"/>
      <c r="K242" s="11" t="n"/>
      <c r="L242" s="3" t="n"/>
      <c r="M242" s="3" t="n"/>
      <c r="N242" s="3">
        <f>IF($A242="","",IF($S242&lt;&gt;"表示",0,IF($M242&gt;0,$M242,IFERROR($J242*$L242,0))))</f>
        <v/>
      </c>
      <c r="O242" s="3">
        <f>IF($A242="","",$I242-$N242)</f>
        <v/>
      </c>
      <c r="P242" s="3">
        <f>IF($A242="","",IFERROR($O242/$I242,0))</f>
        <v/>
      </c>
      <c r="Q242" s="11" t="n"/>
      <c r="R242" s="11" t="n"/>
      <c r="S242" s="11" t="inlineStr">
        <is>
          <t>表示</t>
        </is>
      </c>
      <c r="T242" s="11" t="n"/>
      <c r="U242" s="11" t="n"/>
      <c r="V242" s="11" t="n"/>
      <c r="W242" s="11" t="n"/>
      <c r="X242" s="11" t="n"/>
      <c r="Y242" s="11" t="n"/>
      <c r="Z242" s="11" t="n"/>
    </row>
    <row r="243" ht="26.75" customHeight="1">
      <c r="A243" s="11" t="n">
        <v>242</v>
      </c>
      <c r="B243" s="11" t="n"/>
      <c r="C243" s="11" t="n"/>
      <c r="D243" s="11" t="n"/>
      <c r="E243" s="3" t="n"/>
      <c r="F243" s="11" t="n"/>
      <c r="G243" s="3" t="n"/>
      <c r="H243" s="3" t="n"/>
      <c r="I243" s="3">
        <f>IF($A243="","",IF($S243&lt;&gt;"表示",0,IF($H243&gt;0,$H243,IFERROR($E243*$G243,0))))</f>
        <v/>
      </c>
      <c r="J243" s="3" t="n"/>
      <c r="K243" s="11" t="n"/>
      <c r="L243" s="3" t="n"/>
      <c r="M243" s="3" t="n"/>
      <c r="N243" s="3">
        <f>IF($A243="","",IF($S243&lt;&gt;"表示",0,IF($M243&gt;0,$M243,IFERROR($J243*$L243,0))))</f>
        <v/>
      </c>
      <c r="O243" s="3">
        <f>IF($A243="","",$I243-$N243)</f>
        <v/>
      </c>
      <c r="P243" s="3">
        <f>IF($A243="","",IFERROR($O243/$I243,0))</f>
        <v/>
      </c>
      <c r="Q243" s="11" t="n"/>
      <c r="R243" s="11" t="n"/>
      <c r="S243" s="11" t="inlineStr">
        <is>
          <t>表示</t>
        </is>
      </c>
      <c r="T243" s="11" t="n"/>
      <c r="U243" s="11" t="n"/>
      <c r="V243" s="11" t="n"/>
      <c r="W243" s="11" t="n"/>
      <c r="X243" s="11" t="n"/>
      <c r="Y243" s="11" t="n"/>
      <c r="Z243" s="11" t="n"/>
    </row>
    <row r="244" ht="26.75" customHeight="1">
      <c r="A244" s="11" t="n">
        <v>243</v>
      </c>
      <c r="B244" s="11" t="n"/>
      <c r="C244" s="11" t="n"/>
      <c r="D244" s="11" t="n"/>
      <c r="E244" s="3" t="n"/>
      <c r="F244" s="11" t="n"/>
      <c r="G244" s="3" t="n"/>
      <c r="H244" s="3" t="n"/>
      <c r="I244" s="3">
        <f>IF($A244="","",IF($S244&lt;&gt;"表示",0,IF($H244&gt;0,$H244,IFERROR($E244*$G244,0))))</f>
        <v/>
      </c>
      <c r="J244" s="3" t="n"/>
      <c r="K244" s="11" t="n"/>
      <c r="L244" s="3" t="n"/>
      <c r="M244" s="3" t="n"/>
      <c r="N244" s="3">
        <f>IF($A244="","",IF($S244&lt;&gt;"表示",0,IF($M244&gt;0,$M244,IFERROR($J244*$L244,0))))</f>
        <v/>
      </c>
      <c r="O244" s="3">
        <f>IF($A244="","",$I244-$N244)</f>
        <v/>
      </c>
      <c r="P244" s="3">
        <f>IF($A244="","",IFERROR($O244/$I244,0))</f>
        <v/>
      </c>
      <c r="Q244" s="11" t="n"/>
      <c r="R244" s="11" t="n"/>
      <c r="S244" s="11" t="inlineStr">
        <is>
          <t>表示</t>
        </is>
      </c>
      <c r="T244" s="11" t="n"/>
      <c r="U244" s="11" t="n"/>
      <c r="V244" s="11" t="n"/>
      <c r="W244" s="11" t="n"/>
      <c r="X244" s="11" t="n"/>
      <c r="Y244" s="11" t="n"/>
      <c r="Z244" s="11" t="n"/>
    </row>
    <row r="245" ht="26.75" customHeight="1">
      <c r="A245" s="11" t="n">
        <v>244</v>
      </c>
      <c r="B245" s="11" t="n"/>
      <c r="C245" s="11" t="n"/>
      <c r="D245" s="11" t="n"/>
      <c r="E245" s="3" t="n"/>
      <c r="F245" s="11" t="n"/>
      <c r="G245" s="3" t="n"/>
      <c r="H245" s="3" t="n"/>
      <c r="I245" s="3">
        <f>IF($A245="","",IF($S245&lt;&gt;"表示",0,IF($H245&gt;0,$H245,IFERROR($E245*$G245,0))))</f>
        <v/>
      </c>
      <c r="J245" s="3" t="n"/>
      <c r="K245" s="11" t="n"/>
      <c r="L245" s="3" t="n"/>
      <c r="M245" s="3" t="n"/>
      <c r="N245" s="3">
        <f>IF($A245="","",IF($S245&lt;&gt;"表示",0,IF($M245&gt;0,$M245,IFERROR($J245*$L245,0))))</f>
        <v/>
      </c>
      <c r="O245" s="3">
        <f>IF($A245="","",$I245-$N245)</f>
        <v/>
      </c>
      <c r="P245" s="3">
        <f>IF($A245="","",IFERROR($O245/$I245,0))</f>
        <v/>
      </c>
      <c r="Q245" s="11" t="n"/>
      <c r="R245" s="11" t="n"/>
      <c r="S245" s="11" t="inlineStr">
        <is>
          <t>表示</t>
        </is>
      </c>
      <c r="T245" s="11" t="n"/>
      <c r="U245" s="11" t="n"/>
      <c r="V245" s="11" t="n"/>
      <c r="W245" s="11" t="n"/>
      <c r="X245" s="11" t="n"/>
      <c r="Y245" s="11" t="n"/>
      <c r="Z245" s="11" t="n"/>
    </row>
    <row r="246" ht="26.75" customHeight="1">
      <c r="A246" s="11" t="n">
        <v>245</v>
      </c>
      <c r="B246" s="11" t="n"/>
      <c r="C246" s="11" t="n"/>
      <c r="D246" s="11" t="n"/>
      <c r="E246" s="3" t="n"/>
      <c r="F246" s="11" t="n"/>
      <c r="G246" s="3" t="n"/>
      <c r="H246" s="3" t="n"/>
      <c r="I246" s="3">
        <f>IF($A246="","",IF($S246&lt;&gt;"表示",0,IF($H246&gt;0,$H246,IFERROR($E246*$G246,0))))</f>
        <v/>
      </c>
      <c r="J246" s="3" t="n"/>
      <c r="K246" s="11" t="n"/>
      <c r="L246" s="3" t="n"/>
      <c r="M246" s="3" t="n"/>
      <c r="N246" s="3">
        <f>IF($A246="","",IF($S246&lt;&gt;"表示",0,IF($M246&gt;0,$M246,IFERROR($J246*$L246,0))))</f>
        <v/>
      </c>
      <c r="O246" s="3">
        <f>IF($A246="","",$I246-$N246)</f>
        <v/>
      </c>
      <c r="P246" s="3">
        <f>IF($A246="","",IFERROR($O246/$I246,0))</f>
        <v/>
      </c>
      <c r="Q246" s="11" t="n"/>
      <c r="R246" s="11" t="n"/>
      <c r="S246" s="11" t="inlineStr">
        <is>
          <t>表示</t>
        </is>
      </c>
      <c r="T246" s="11" t="n"/>
      <c r="U246" s="11" t="n"/>
      <c r="V246" s="11" t="n"/>
      <c r="W246" s="11" t="n"/>
      <c r="X246" s="11" t="n"/>
      <c r="Y246" s="11" t="n"/>
      <c r="Z246" s="11" t="n"/>
    </row>
    <row r="247" ht="26.75" customHeight="1">
      <c r="A247" s="11" t="n">
        <v>246</v>
      </c>
      <c r="B247" s="11" t="n"/>
      <c r="C247" s="11" t="n"/>
      <c r="D247" s="11" t="n"/>
      <c r="E247" s="3" t="n"/>
      <c r="F247" s="11" t="n"/>
      <c r="G247" s="3" t="n"/>
      <c r="H247" s="3" t="n"/>
      <c r="I247" s="3">
        <f>IF($A247="","",IF($S247&lt;&gt;"表示",0,IF($H247&gt;0,$H247,IFERROR($E247*$G247,0))))</f>
        <v/>
      </c>
      <c r="J247" s="3" t="n"/>
      <c r="K247" s="11" t="n"/>
      <c r="L247" s="3" t="n"/>
      <c r="M247" s="3" t="n"/>
      <c r="N247" s="3">
        <f>IF($A247="","",IF($S247&lt;&gt;"表示",0,IF($M247&gt;0,$M247,IFERROR($J247*$L247,0))))</f>
        <v/>
      </c>
      <c r="O247" s="3">
        <f>IF($A247="","",$I247-$N247)</f>
        <v/>
      </c>
      <c r="P247" s="3">
        <f>IF($A247="","",IFERROR($O247/$I247,0))</f>
        <v/>
      </c>
      <c r="Q247" s="11" t="n"/>
      <c r="R247" s="11" t="n"/>
      <c r="S247" s="11" t="inlineStr">
        <is>
          <t>表示</t>
        </is>
      </c>
      <c r="T247" s="11" t="n"/>
      <c r="U247" s="11" t="n"/>
      <c r="V247" s="11" t="n"/>
      <c r="W247" s="11" t="n"/>
      <c r="X247" s="11" t="n"/>
      <c r="Y247" s="11" t="n"/>
      <c r="Z247" s="11" t="n"/>
    </row>
    <row r="248" ht="26.75" customHeight="1">
      <c r="A248" s="11" t="n">
        <v>247</v>
      </c>
      <c r="B248" s="11" t="n"/>
      <c r="C248" s="11" t="n"/>
      <c r="D248" s="11" t="n"/>
      <c r="E248" s="3" t="n"/>
      <c r="F248" s="11" t="n"/>
      <c r="G248" s="3" t="n"/>
      <c r="H248" s="3" t="n"/>
      <c r="I248" s="3">
        <f>IF($A248="","",IF($S248&lt;&gt;"表示",0,IF($H248&gt;0,$H248,IFERROR($E248*$G248,0))))</f>
        <v/>
      </c>
      <c r="J248" s="3" t="n"/>
      <c r="K248" s="11" t="n"/>
      <c r="L248" s="3" t="n"/>
      <c r="M248" s="3" t="n"/>
      <c r="N248" s="3">
        <f>IF($A248="","",IF($S248&lt;&gt;"表示",0,IF($M248&gt;0,$M248,IFERROR($J248*$L248,0))))</f>
        <v/>
      </c>
      <c r="O248" s="3">
        <f>IF($A248="","",$I248-$N248)</f>
        <v/>
      </c>
      <c r="P248" s="3">
        <f>IF($A248="","",IFERROR($O248/$I248,0))</f>
        <v/>
      </c>
      <c r="Q248" s="11" t="n"/>
      <c r="R248" s="11" t="n"/>
      <c r="S248" s="11" t="inlineStr">
        <is>
          <t>表示</t>
        </is>
      </c>
      <c r="T248" s="11" t="n"/>
      <c r="U248" s="11" t="n"/>
      <c r="V248" s="11" t="n"/>
      <c r="W248" s="11" t="n"/>
      <c r="X248" s="11" t="n"/>
      <c r="Y248" s="11" t="n"/>
      <c r="Z248" s="11" t="n"/>
    </row>
    <row r="249" ht="26.75" customHeight="1">
      <c r="A249" s="11" t="n">
        <v>248</v>
      </c>
      <c r="B249" s="11" t="n"/>
      <c r="C249" s="11" t="n"/>
      <c r="D249" s="11" t="n"/>
      <c r="E249" s="3" t="n"/>
      <c r="F249" s="11" t="n"/>
      <c r="G249" s="3" t="n"/>
      <c r="H249" s="3" t="n"/>
      <c r="I249" s="3">
        <f>IF($A249="","",IF($S249&lt;&gt;"表示",0,IF($H249&gt;0,$H249,IFERROR($E249*$G249,0))))</f>
        <v/>
      </c>
      <c r="J249" s="3" t="n"/>
      <c r="K249" s="11" t="n"/>
      <c r="L249" s="3" t="n"/>
      <c r="M249" s="3" t="n"/>
      <c r="N249" s="3">
        <f>IF($A249="","",IF($S249&lt;&gt;"表示",0,IF($M249&gt;0,$M249,IFERROR($J249*$L249,0))))</f>
        <v/>
      </c>
      <c r="O249" s="3">
        <f>IF($A249="","",$I249-$N249)</f>
        <v/>
      </c>
      <c r="P249" s="3">
        <f>IF($A249="","",IFERROR($O249/$I249,0))</f>
        <v/>
      </c>
      <c r="Q249" s="11" t="n"/>
      <c r="R249" s="11" t="n"/>
      <c r="S249" s="11" t="inlineStr">
        <is>
          <t>表示</t>
        </is>
      </c>
      <c r="T249" s="11" t="n"/>
      <c r="U249" s="11" t="n"/>
      <c r="V249" s="11" t="n"/>
      <c r="W249" s="11" t="n"/>
      <c r="X249" s="11" t="n"/>
      <c r="Y249" s="11" t="n"/>
      <c r="Z249" s="11" t="n"/>
    </row>
    <row r="250" ht="26.75" customHeight="1">
      <c r="A250" s="11" t="n">
        <v>249</v>
      </c>
      <c r="B250" s="11" t="n"/>
      <c r="C250" s="11" t="n"/>
      <c r="D250" s="11" t="n"/>
      <c r="E250" s="3" t="n"/>
      <c r="F250" s="11" t="n"/>
      <c r="G250" s="3" t="n"/>
      <c r="H250" s="3" t="n"/>
      <c r="I250" s="3">
        <f>IF($A250="","",IF($S250&lt;&gt;"表示",0,IF($H250&gt;0,$H250,IFERROR($E250*$G250,0))))</f>
        <v/>
      </c>
      <c r="J250" s="3" t="n"/>
      <c r="K250" s="11" t="n"/>
      <c r="L250" s="3" t="n"/>
      <c r="M250" s="3" t="n"/>
      <c r="N250" s="3">
        <f>IF($A250="","",IF($S250&lt;&gt;"表示",0,IF($M250&gt;0,$M250,IFERROR($J250*$L250,0))))</f>
        <v/>
      </c>
      <c r="O250" s="3">
        <f>IF($A250="","",$I250-$N250)</f>
        <v/>
      </c>
      <c r="P250" s="3">
        <f>IF($A250="","",IFERROR($O250/$I250,0))</f>
        <v/>
      </c>
      <c r="Q250" s="11" t="n"/>
      <c r="R250" s="11" t="n"/>
      <c r="S250" s="11" t="inlineStr">
        <is>
          <t>表示</t>
        </is>
      </c>
      <c r="T250" s="11" t="n"/>
      <c r="U250" s="11" t="n"/>
      <c r="V250" s="11" t="n"/>
      <c r="W250" s="11" t="n"/>
      <c r="X250" s="11" t="n"/>
      <c r="Y250" s="11" t="n"/>
      <c r="Z250" s="11" t="n"/>
    </row>
    <row r="251" ht="26.75" customHeight="1">
      <c r="A251" s="11" t="n">
        <v>250</v>
      </c>
      <c r="B251" s="11" t="n"/>
      <c r="C251" s="11" t="n"/>
      <c r="D251" s="11" t="n"/>
      <c r="E251" s="3" t="n"/>
      <c r="F251" s="11" t="n"/>
      <c r="G251" s="3" t="n"/>
      <c r="H251" s="3" t="n"/>
      <c r="I251" s="3">
        <f>IF($A251="","",IF($S251&lt;&gt;"表示",0,IF($H251&gt;0,$H251,IFERROR($E251*$G251,0))))</f>
        <v/>
      </c>
      <c r="J251" s="3" t="n"/>
      <c r="K251" s="11" t="n"/>
      <c r="L251" s="3" t="n"/>
      <c r="M251" s="3" t="n"/>
      <c r="N251" s="3">
        <f>IF($A251="","",IF($S251&lt;&gt;"表示",0,IF($M251&gt;0,$M251,IFERROR($J251*$L251,0))))</f>
        <v/>
      </c>
      <c r="O251" s="3">
        <f>IF($A251="","",$I251-$N251)</f>
        <v/>
      </c>
      <c r="P251" s="3">
        <f>IF($A251="","",IFERROR($O251/$I251,0))</f>
        <v/>
      </c>
      <c r="Q251" s="11" t="n"/>
      <c r="R251" s="11" t="n"/>
      <c r="S251" s="11" t="inlineStr">
        <is>
          <t>表示</t>
        </is>
      </c>
      <c r="T251" s="11" t="n"/>
      <c r="U251" s="11" t="n"/>
      <c r="V251" s="11" t="n"/>
      <c r="W251" s="11" t="n"/>
      <c r="X251" s="11" t="n"/>
      <c r="Y251" s="11" t="n"/>
      <c r="Z251" s="11" t="n"/>
    </row>
    <row r="252" ht="26.75" customHeight="1">
      <c r="A252" s="11" t="n">
        <v>251</v>
      </c>
      <c r="B252" s="11" t="n"/>
      <c r="C252" s="11" t="n"/>
      <c r="D252" s="11" t="n"/>
      <c r="E252" s="3" t="n"/>
      <c r="F252" s="11" t="n"/>
      <c r="G252" s="3" t="n"/>
      <c r="H252" s="3" t="n"/>
      <c r="I252" s="3">
        <f>IF($A252="","",IF($S252&lt;&gt;"表示",0,IF($H252&gt;0,$H252,IFERROR($E252*$G252,0))))</f>
        <v/>
      </c>
      <c r="J252" s="3" t="n"/>
      <c r="K252" s="11" t="n"/>
      <c r="L252" s="3" t="n"/>
      <c r="M252" s="3" t="n"/>
      <c r="N252" s="3">
        <f>IF($A252="","",IF($S252&lt;&gt;"表示",0,IF($M252&gt;0,$M252,IFERROR($J252*$L252,0))))</f>
        <v/>
      </c>
      <c r="O252" s="3">
        <f>IF($A252="","",$I252-$N252)</f>
        <v/>
      </c>
      <c r="P252" s="3">
        <f>IF($A252="","",IFERROR($O252/$I252,0))</f>
        <v/>
      </c>
      <c r="Q252" s="11" t="n"/>
      <c r="R252" s="11" t="n"/>
      <c r="S252" s="11" t="inlineStr">
        <is>
          <t>表示</t>
        </is>
      </c>
      <c r="T252" s="11" t="n"/>
      <c r="U252" s="11" t="n"/>
      <c r="V252" s="11" t="n"/>
      <c r="W252" s="11" t="n"/>
      <c r="X252" s="11" t="n"/>
      <c r="Y252" s="11" t="n"/>
      <c r="Z252" s="11" t="n"/>
    </row>
    <row r="253" ht="26.75" customHeight="1">
      <c r="A253" s="11" t="n">
        <v>252</v>
      </c>
      <c r="B253" s="11" t="n"/>
      <c r="C253" s="11" t="n"/>
      <c r="D253" s="11" t="n"/>
      <c r="E253" s="3" t="n"/>
      <c r="F253" s="11" t="n"/>
      <c r="G253" s="3" t="n"/>
      <c r="H253" s="3" t="n"/>
      <c r="I253" s="3">
        <f>IF($A253="","",IF($S253&lt;&gt;"表示",0,IF($H253&gt;0,$H253,IFERROR($E253*$G253,0))))</f>
        <v/>
      </c>
      <c r="J253" s="3" t="n"/>
      <c r="K253" s="11" t="n"/>
      <c r="L253" s="3" t="n"/>
      <c r="M253" s="3" t="n"/>
      <c r="N253" s="3">
        <f>IF($A253="","",IF($S253&lt;&gt;"表示",0,IF($M253&gt;0,$M253,IFERROR($J253*$L253,0))))</f>
        <v/>
      </c>
      <c r="O253" s="3">
        <f>IF($A253="","",$I253-$N253)</f>
        <v/>
      </c>
      <c r="P253" s="3">
        <f>IF($A253="","",IFERROR($O253/$I253,0))</f>
        <v/>
      </c>
      <c r="Q253" s="11" t="n"/>
      <c r="R253" s="11" t="n"/>
      <c r="S253" s="11" t="inlineStr">
        <is>
          <t>表示</t>
        </is>
      </c>
      <c r="T253" s="11" t="n"/>
      <c r="U253" s="11" t="n"/>
      <c r="V253" s="11" t="n"/>
      <c r="W253" s="11" t="n"/>
      <c r="X253" s="11" t="n"/>
      <c r="Y253" s="11" t="n"/>
      <c r="Z253" s="11" t="n"/>
    </row>
    <row r="254" ht="26.75" customHeight="1">
      <c r="A254" s="11" t="n">
        <v>253</v>
      </c>
      <c r="B254" s="11" t="n"/>
      <c r="C254" s="11" t="n"/>
      <c r="D254" s="11" t="n"/>
      <c r="E254" s="3" t="n"/>
      <c r="F254" s="11" t="n"/>
      <c r="G254" s="3" t="n"/>
      <c r="H254" s="3" t="n"/>
      <c r="I254" s="3">
        <f>IF($A254="","",IF($S254&lt;&gt;"表示",0,IF($H254&gt;0,$H254,IFERROR($E254*$G254,0))))</f>
        <v/>
      </c>
      <c r="J254" s="3" t="n"/>
      <c r="K254" s="11" t="n"/>
      <c r="L254" s="3" t="n"/>
      <c r="M254" s="3" t="n"/>
      <c r="N254" s="3">
        <f>IF($A254="","",IF($S254&lt;&gt;"表示",0,IF($M254&gt;0,$M254,IFERROR($J254*$L254,0))))</f>
        <v/>
      </c>
      <c r="O254" s="3">
        <f>IF($A254="","",$I254-$N254)</f>
        <v/>
      </c>
      <c r="P254" s="3">
        <f>IF($A254="","",IFERROR($O254/$I254,0))</f>
        <v/>
      </c>
      <c r="Q254" s="11" t="n"/>
      <c r="R254" s="11" t="n"/>
      <c r="S254" s="11" t="inlineStr">
        <is>
          <t>表示</t>
        </is>
      </c>
      <c r="T254" s="11" t="n"/>
      <c r="U254" s="11" t="n"/>
      <c r="V254" s="11" t="n"/>
      <c r="W254" s="11" t="n"/>
      <c r="X254" s="11" t="n"/>
      <c r="Y254" s="11" t="n"/>
      <c r="Z254" s="11" t="n"/>
    </row>
    <row r="255" ht="26.75" customHeight="1">
      <c r="A255" s="11" t="n">
        <v>254</v>
      </c>
      <c r="B255" s="11" t="n"/>
      <c r="C255" s="11" t="n"/>
      <c r="D255" s="11" t="n"/>
      <c r="E255" s="3" t="n"/>
      <c r="F255" s="11" t="n"/>
      <c r="G255" s="3" t="n"/>
      <c r="H255" s="3" t="n"/>
      <c r="I255" s="3">
        <f>IF($A255="","",IF($S255&lt;&gt;"表示",0,IF($H255&gt;0,$H255,IFERROR($E255*$G255,0))))</f>
        <v/>
      </c>
      <c r="J255" s="3" t="n"/>
      <c r="K255" s="11" t="n"/>
      <c r="L255" s="3" t="n"/>
      <c r="M255" s="3" t="n"/>
      <c r="N255" s="3">
        <f>IF($A255="","",IF($S255&lt;&gt;"表示",0,IF($M255&gt;0,$M255,IFERROR($J255*$L255,0))))</f>
        <v/>
      </c>
      <c r="O255" s="3">
        <f>IF($A255="","",$I255-$N255)</f>
        <v/>
      </c>
      <c r="P255" s="3">
        <f>IF($A255="","",IFERROR($O255/$I255,0))</f>
        <v/>
      </c>
      <c r="Q255" s="11" t="n"/>
      <c r="R255" s="11" t="n"/>
      <c r="S255" s="11" t="inlineStr">
        <is>
          <t>表示</t>
        </is>
      </c>
      <c r="T255" s="11" t="n"/>
      <c r="U255" s="11" t="n"/>
      <c r="V255" s="11" t="n"/>
      <c r="W255" s="11" t="n"/>
      <c r="X255" s="11" t="n"/>
      <c r="Y255" s="11" t="n"/>
      <c r="Z255" s="11" t="n"/>
    </row>
    <row r="256" ht="26.75" customHeight="1">
      <c r="A256" s="11" t="n">
        <v>255</v>
      </c>
      <c r="B256" s="11" t="n"/>
      <c r="C256" s="11" t="n"/>
      <c r="D256" s="11" t="n"/>
      <c r="E256" s="3" t="n"/>
      <c r="F256" s="11" t="n"/>
      <c r="G256" s="3" t="n"/>
      <c r="H256" s="3" t="n"/>
      <c r="I256" s="3">
        <f>IF($A256="","",IF($S256&lt;&gt;"表示",0,IF($H256&gt;0,$H256,IFERROR($E256*$G256,0))))</f>
        <v/>
      </c>
      <c r="J256" s="3" t="n"/>
      <c r="K256" s="11" t="n"/>
      <c r="L256" s="3" t="n"/>
      <c r="M256" s="3" t="n"/>
      <c r="N256" s="3">
        <f>IF($A256="","",IF($S256&lt;&gt;"表示",0,IF($M256&gt;0,$M256,IFERROR($J256*$L256,0))))</f>
        <v/>
      </c>
      <c r="O256" s="3">
        <f>IF($A256="","",$I256-$N256)</f>
        <v/>
      </c>
      <c r="P256" s="3">
        <f>IF($A256="","",IFERROR($O256/$I256,0))</f>
        <v/>
      </c>
      <c r="Q256" s="11" t="n"/>
      <c r="R256" s="11" t="n"/>
      <c r="S256" s="11" t="inlineStr">
        <is>
          <t>表示</t>
        </is>
      </c>
      <c r="T256" s="11" t="n"/>
      <c r="U256" s="11" t="n"/>
      <c r="V256" s="11" t="n"/>
      <c r="W256" s="11" t="n"/>
      <c r="X256" s="11" t="n"/>
      <c r="Y256" s="11" t="n"/>
      <c r="Z256" s="11" t="n"/>
    </row>
    <row r="257" ht="26.75" customHeight="1">
      <c r="A257" s="11" t="n">
        <v>256</v>
      </c>
      <c r="B257" s="11" t="n"/>
      <c r="C257" s="11" t="n"/>
      <c r="D257" s="11" t="n"/>
      <c r="E257" s="3" t="n"/>
      <c r="F257" s="11" t="n"/>
      <c r="G257" s="3" t="n"/>
      <c r="H257" s="3" t="n"/>
      <c r="I257" s="3">
        <f>IF($A257="","",IF($S257&lt;&gt;"表示",0,IF($H257&gt;0,$H257,IFERROR($E257*$G257,0))))</f>
        <v/>
      </c>
      <c r="J257" s="3" t="n"/>
      <c r="K257" s="11" t="n"/>
      <c r="L257" s="3" t="n"/>
      <c r="M257" s="3" t="n"/>
      <c r="N257" s="3">
        <f>IF($A257="","",IF($S257&lt;&gt;"表示",0,IF($M257&gt;0,$M257,IFERROR($J257*$L257,0))))</f>
        <v/>
      </c>
      <c r="O257" s="3">
        <f>IF($A257="","",$I257-$N257)</f>
        <v/>
      </c>
      <c r="P257" s="3">
        <f>IF($A257="","",IFERROR($O257/$I257,0))</f>
        <v/>
      </c>
      <c r="Q257" s="11" t="n"/>
      <c r="R257" s="11" t="n"/>
      <c r="S257" s="11" t="inlineStr">
        <is>
          <t>表示</t>
        </is>
      </c>
      <c r="T257" s="11" t="n"/>
      <c r="U257" s="11" t="n"/>
      <c r="V257" s="11" t="n"/>
      <c r="W257" s="11" t="n"/>
      <c r="X257" s="11" t="n"/>
      <c r="Y257" s="11" t="n"/>
      <c r="Z257" s="11" t="n"/>
    </row>
    <row r="258" ht="26.75" customHeight="1">
      <c r="A258" s="11" t="n">
        <v>257</v>
      </c>
      <c r="B258" s="11" t="n"/>
      <c r="C258" s="11" t="n"/>
      <c r="D258" s="11" t="n"/>
      <c r="E258" s="3" t="n"/>
      <c r="F258" s="11" t="n"/>
      <c r="G258" s="3" t="n"/>
      <c r="H258" s="3" t="n"/>
      <c r="I258" s="3">
        <f>IF($A258="","",IF($S258&lt;&gt;"表示",0,IF($H258&gt;0,$H258,IFERROR($E258*$G258,0))))</f>
        <v/>
      </c>
      <c r="J258" s="3" t="n"/>
      <c r="K258" s="11" t="n"/>
      <c r="L258" s="3" t="n"/>
      <c r="M258" s="3" t="n"/>
      <c r="N258" s="3">
        <f>IF($A258="","",IF($S258&lt;&gt;"表示",0,IF($M258&gt;0,$M258,IFERROR($J258*$L258,0))))</f>
        <v/>
      </c>
      <c r="O258" s="3">
        <f>IF($A258="","",$I258-$N258)</f>
        <v/>
      </c>
      <c r="P258" s="3">
        <f>IF($A258="","",IFERROR($O258/$I258,0))</f>
        <v/>
      </c>
      <c r="Q258" s="11" t="n"/>
      <c r="R258" s="11" t="n"/>
      <c r="S258" s="11" t="inlineStr">
        <is>
          <t>表示</t>
        </is>
      </c>
      <c r="T258" s="11" t="n"/>
      <c r="U258" s="11" t="n"/>
      <c r="V258" s="11" t="n"/>
      <c r="W258" s="11" t="n"/>
      <c r="X258" s="11" t="n"/>
      <c r="Y258" s="11" t="n"/>
      <c r="Z258" s="11" t="n"/>
    </row>
    <row r="259" ht="26.75" customHeight="1">
      <c r="A259" s="11" t="n">
        <v>258</v>
      </c>
      <c r="B259" s="11" t="n"/>
      <c r="C259" s="11" t="n"/>
      <c r="D259" s="11" t="n"/>
      <c r="E259" s="3" t="n"/>
      <c r="F259" s="11" t="n"/>
      <c r="G259" s="3" t="n"/>
      <c r="H259" s="3" t="n"/>
      <c r="I259" s="3">
        <f>IF($A259="","",IF($S259&lt;&gt;"表示",0,IF($H259&gt;0,$H259,IFERROR($E259*$G259,0))))</f>
        <v/>
      </c>
      <c r="J259" s="3" t="n"/>
      <c r="K259" s="11" t="n"/>
      <c r="L259" s="3" t="n"/>
      <c r="M259" s="3" t="n"/>
      <c r="N259" s="3">
        <f>IF($A259="","",IF($S259&lt;&gt;"表示",0,IF($M259&gt;0,$M259,IFERROR($J259*$L259,0))))</f>
        <v/>
      </c>
      <c r="O259" s="3">
        <f>IF($A259="","",$I259-$N259)</f>
        <v/>
      </c>
      <c r="P259" s="3">
        <f>IF($A259="","",IFERROR($O259/$I259,0))</f>
        <v/>
      </c>
      <c r="Q259" s="11" t="n"/>
      <c r="R259" s="11" t="n"/>
      <c r="S259" s="11" t="inlineStr">
        <is>
          <t>表示</t>
        </is>
      </c>
      <c r="T259" s="11" t="n"/>
      <c r="U259" s="11" t="n"/>
      <c r="V259" s="11" t="n"/>
      <c r="W259" s="11" t="n"/>
      <c r="X259" s="11" t="n"/>
      <c r="Y259" s="11" t="n"/>
      <c r="Z259" s="11" t="n"/>
    </row>
    <row r="260" ht="26.75" customHeight="1">
      <c r="A260" s="11" t="n">
        <v>259</v>
      </c>
      <c r="B260" s="11" t="n"/>
      <c r="C260" s="11" t="n"/>
      <c r="D260" s="11" t="n"/>
      <c r="E260" s="3" t="n"/>
      <c r="F260" s="11" t="n"/>
      <c r="G260" s="3" t="n"/>
      <c r="H260" s="3" t="n"/>
      <c r="I260" s="3">
        <f>IF($A260="","",IF($S260&lt;&gt;"表示",0,IF($H260&gt;0,$H260,IFERROR($E260*$G260,0))))</f>
        <v/>
      </c>
      <c r="J260" s="3" t="n"/>
      <c r="K260" s="11" t="n"/>
      <c r="L260" s="3" t="n"/>
      <c r="M260" s="3" t="n"/>
      <c r="N260" s="3">
        <f>IF($A260="","",IF($S260&lt;&gt;"表示",0,IF($M260&gt;0,$M260,IFERROR($J260*$L260,0))))</f>
        <v/>
      </c>
      <c r="O260" s="3">
        <f>IF($A260="","",$I260-$N260)</f>
        <v/>
      </c>
      <c r="P260" s="3">
        <f>IF($A260="","",IFERROR($O260/$I260,0))</f>
        <v/>
      </c>
      <c r="Q260" s="11" t="n"/>
      <c r="R260" s="11" t="n"/>
      <c r="S260" s="11" t="inlineStr">
        <is>
          <t>表示</t>
        </is>
      </c>
      <c r="T260" s="11" t="n"/>
      <c r="U260" s="11" t="n"/>
      <c r="V260" s="11" t="n"/>
      <c r="W260" s="11" t="n"/>
      <c r="X260" s="11" t="n"/>
      <c r="Y260" s="11" t="n"/>
      <c r="Z260" s="11" t="n"/>
    </row>
    <row r="261" ht="26.75" customHeight="1">
      <c r="A261" s="11" t="n">
        <v>260</v>
      </c>
      <c r="B261" s="11" t="n"/>
      <c r="C261" s="11" t="n"/>
      <c r="D261" s="11" t="n"/>
      <c r="E261" s="3" t="n"/>
      <c r="F261" s="11" t="n"/>
      <c r="G261" s="3" t="n"/>
      <c r="H261" s="3" t="n"/>
      <c r="I261" s="3">
        <f>IF($A261="","",IF($S261&lt;&gt;"表示",0,IF($H261&gt;0,$H261,IFERROR($E261*$G261,0))))</f>
        <v/>
      </c>
      <c r="J261" s="3" t="n"/>
      <c r="K261" s="11" t="n"/>
      <c r="L261" s="3" t="n"/>
      <c r="M261" s="3" t="n"/>
      <c r="N261" s="3">
        <f>IF($A261="","",IF($S261&lt;&gt;"表示",0,IF($M261&gt;0,$M261,IFERROR($J261*$L261,0))))</f>
        <v/>
      </c>
      <c r="O261" s="3">
        <f>IF($A261="","",$I261-$N261)</f>
        <v/>
      </c>
      <c r="P261" s="3">
        <f>IF($A261="","",IFERROR($O261/$I261,0))</f>
        <v/>
      </c>
      <c r="Q261" s="11" t="n"/>
      <c r="R261" s="11" t="n"/>
      <c r="S261" s="11" t="inlineStr">
        <is>
          <t>表示</t>
        </is>
      </c>
      <c r="T261" s="11" t="n"/>
      <c r="U261" s="11" t="n"/>
      <c r="V261" s="11" t="n"/>
      <c r="W261" s="11" t="n"/>
      <c r="X261" s="11" t="n"/>
      <c r="Y261" s="11" t="n"/>
      <c r="Z261" s="11" t="n"/>
    </row>
    <row r="262" ht="26.75" customHeight="1">
      <c r="A262" s="11" t="n">
        <v>261</v>
      </c>
      <c r="B262" s="11" t="n"/>
      <c r="C262" s="11" t="n"/>
      <c r="D262" s="11" t="n"/>
      <c r="E262" s="3" t="n"/>
      <c r="F262" s="11" t="n"/>
      <c r="G262" s="3" t="n"/>
      <c r="H262" s="3" t="n"/>
      <c r="I262" s="3">
        <f>IF($A262="","",IF($S262&lt;&gt;"表示",0,IF($H262&gt;0,$H262,IFERROR($E262*$G262,0))))</f>
        <v/>
      </c>
      <c r="J262" s="3" t="n"/>
      <c r="K262" s="11" t="n"/>
      <c r="L262" s="3" t="n"/>
      <c r="M262" s="3" t="n"/>
      <c r="N262" s="3">
        <f>IF($A262="","",IF($S262&lt;&gt;"表示",0,IF($M262&gt;0,$M262,IFERROR($J262*$L262,0))))</f>
        <v/>
      </c>
      <c r="O262" s="3">
        <f>IF($A262="","",$I262-$N262)</f>
        <v/>
      </c>
      <c r="P262" s="3">
        <f>IF($A262="","",IFERROR($O262/$I262,0))</f>
        <v/>
      </c>
      <c r="Q262" s="11" t="n"/>
      <c r="R262" s="11" t="n"/>
      <c r="S262" s="11" t="inlineStr">
        <is>
          <t>表示</t>
        </is>
      </c>
      <c r="T262" s="11" t="n"/>
      <c r="U262" s="11" t="n"/>
      <c r="V262" s="11" t="n"/>
      <c r="W262" s="11" t="n"/>
      <c r="X262" s="11" t="n"/>
      <c r="Y262" s="11" t="n"/>
      <c r="Z262" s="11" t="n"/>
    </row>
    <row r="263" ht="26.75" customHeight="1">
      <c r="A263" s="11" t="n">
        <v>262</v>
      </c>
      <c r="B263" s="11" t="n"/>
      <c r="C263" s="11" t="n"/>
      <c r="D263" s="11" t="n"/>
      <c r="E263" s="3" t="n"/>
      <c r="F263" s="11" t="n"/>
      <c r="G263" s="3" t="n"/>
      <c r="H263" s="3" t="n"/>
      <c r="I263" s="3">
        <f>IF($A263="","",IF($S263&lt;&gt;"表示",0,IF($H263&gt;0,$H263,IFERROR($E263*$G263,0))))</f>
        <v/>
      </c>
      <c r="J263" s="3" t="n"/>
      <c r="K263" s="11" t="n"/>
      <c r="L263" s="3" t="n"/>
      <c r="M263" s="3" t="n"/>
      <c r="N263" s="3">
        <f>IF($A263="","",IF($S263&lt;&gt;"表示",0,IF($M263&gt;0,$M263,IFERROR($J263*$L263,0))))</f>
        <v/>
      </c>
      <c r="O263" s="3">
        <f>IF($A263="","",$I263-$N263)</f>
        <v/>
      </c>
      <c r="P263" s="3">
        <f>IF($A263="","",IFERROR($O263/$I263,0))</f>
        <v/>
      </c>
      <c r="Q263" s="11" t="n"/>
      <c r="R263" s="11" t="n"/>
      <c r="S263" s="11" t="inlineStr">
        <is>
          <t>表示</t>
        </is>
      </c>
      <c r="T263" s="11" t="n"/>
      <c r="U263" s="11" t="n"/>
      <c r="V263" s="11" t="n"/>
      <c r="W263" s="11" t="n"/>
      <c r="X263" s="11" t="n"/>
      <c r="Y263" s="11" t="n"/>
      <c r="Z263" s="11" t="n"/>
    </row>
    <row r="264" ht="26.75" customHeight="1">
      <c r="A264" s="11" t="n">
        <v>263</v>
      </c>
      <c r="B264" s="11" t="n"/>
      <c r="C264" s="11" t="n"/>
      <c r="D264" s="11" t="n"/>
      <c r="E264" s="3" t="n"/>
      <c r="F264" s="11" t="n"/>
      <c r="G264" s="3" t="n"/>
      <c r="H264" s="3" t="n"/>
      <c r="I264" s="3">
        <f>IF($A264="","",IF($S264&lt;&gt;"表示",0,IF($H264&gt;0,$H264,IFERROR($E264*$G264,0))))</f>
        <v/>
      </c>
      <c r="J264" s="3" t="n"/>
      <c r="K264" s="11" t="n"/>
      <c r="L264" s="3" t="n"/>
      <c r="M264" s="3" t="n"/>
      <c r="N264" s="3">
        <f>IF($A264="","",IF($S264&lt;&gt;"表示",0,IF($M264&gt;0,$M264,IFERROR($J264*$L264,0))))</f>
        <v/>
      </c>
      <c r="O264" s="3">
        <f>IF($A264="","",$I264-$N264)</f>
        <v/>
      </c>
      <c r="P264" s="3">
        <f>IF($A264="","",IFERROR($O264/$I264,0))</f>
        <v/>
      </c>
      <c r="Q264" s="11" t="n"/>
      <c r="R264" s="11" t="n"/>
      <c r="S264" s="11" t="inlineStr">
        <is>
          <t>表示</t>
        </is>
      </c>
      <c r="T264" s="11" t="n"/>
      <c r="U264" s="11" t="n"/>
      <c r="V264" s="11" t="n"/>
      <c r="W264" s="11" t="n"/>
      <c r="X264" s="11" t="n"/>
      <c r="Y264" s="11" t="n"/>
      <c r="Z264" s="11" t="n"/>
    </row>
    <row r="265" ht="26.75" customHeight="1">
      <c r="A265" s="11" t="n">
        <v>264</v>
      </c>
      <c r="B265" s="11" t="n"/>
      <c r="C265" s="11" t="n"/>
      <c r="D265" s="11" t="n"/>
      <c r="E265" s="3" t="n"/>
      <c r="F265" s="11" t="n"/>
      <c r="G265" s="3" t="n"/>
      <c r="H265" s="3" t="n"/>
      <c r="I265" s="3">
        <f>IF($A265="","",IF($S265&lt;&gt;"表示",0,IF($H265&gt;0,$H265,IFERROR($E265*$G265,0))))</f>
        <v/>
      </c>
      <c r="J265" s="3" t="n"/>
      <c r="K265" s="11" t="n"/>
      <c r="L265" s="3" t="n"/>
      <c r="M265" s="3" t="n"/>
      <c r="N265" s="3">
        <f>IF($A265="","",IF($S265&lt;&gt;"表示",0,IF($M265&gt;0,$M265,IFERROR($J265*$L265,0))))</f>
        <v/>
      </c>
      <c r="O265" s="3">
        <f>IF($A265="","",$I265-$N265)</f>
        <v/>
      </c>
      <c r="P265" s="3">
        <f>IF($A265="","",IFERROR($O265/$I265,0))</f>
        <v/>
      </c>
      <c r="Q265" s="11" t="n"/>
      <c r="R265" s="11" t="n"/>
      <c r="S265" s="11" t="inlineStr">
        <is>
          <t>表示</t>
        </is>
      </c>
      <c r="T265" s="11" t="n"/>
      <c r="U265" s="11" t="n"/>
      <c r="V265" s="11" t="n"/>
      <c r="W265" s="11" t="n"/>
      <c r="X265" s="11" t="n"/>
      <c r="Y265" s="11" t="n"/>
      <c r="Z265" s="11" t="n"/>
    </row>
    <row r="266" ht="26.75" customHeight="1">
      <c r="A266" s="11" t="n">
        <v>265</v>
      </c>
      <c r="B266" s="11" t="n"/>
      <c r="C266" s="11" t="n"/>
      <c r="D266" s="11" t="n"/>
      <c r="E266" s="3" t="n"/>
      <c r="F266" s="11" t="n"/>
      <c r="G266" s="3" t="n"/>
      <c r="H266" s="3" t="n"/>
      <c r="I266" s="3">
        <f>IF($A266="","",IF($S266&lt;&gt;"表示",0,IF($H266&gt;0,$H266,IFERROR($E266*$G266,0))))</f>
        <v/>
      </c>
      <c r="J266" s="3" t="n"/>
      <c r="K266" s="11" t="n"/>
      <c r="L266" s="3" t="n"/>
      <c r="M266" s="3" t="n"/>
      <c r="N266" s="3">
        <f>IF($A266="","",IF($S266&lt;&gt;"表示",0,IF($M266&gt;0,$M266,IFERROR($J266*$L266,0))))</f>
        <v/>
      </c>
      <c r="O266" s="3">
        <f>IF($A266="","",$I266-$N266)</f>
        <v/>
      </c>
      <c r="P266" s="3">
        <f>IF($A266="","",IFERROR($O266/$I266,0))</f>
        <v/>
      </c>
      <c r="Q266" s="11" t="n"/>
      <c r="R266" s="11" t="n"/>
      <c r="S266" s="11" t="inlineStr">
        <is>
          <t>表示</t>
        </is>
      </c>
      <c r="T266" s="11" t="n"/>
      <c r="U266" s="11" t="n"/>
      <c r="V266" s="11" t="n"/>
      <c r="W266" s="11" t="n"/>
      <c r="X266" s="11" t="n"/>
      <c r="Y266" s="11" t="n"/>
      <c r="Z266" s="11" t="n"/>
    </row>
    <row r="267" ht="26.75" customHeight="1">
      <c r="A267" s="11" t="n">
        <v>266</v>
      </c>
      <c r="B267" s="11" t="n"/>
      <c r="C267" s="11" t="n"/>
      <c r="D267" s="11" t="n"/>
      <c r="E267" s="3" t="n"/>
      <c r="F267" s="11" t="n"/>
      <c r="G267" s="3" t="n"/>
      <c r="H267" s="3" t="n"/>
      <c r="I267" s="3">
        <f>IF($A267="","",IF($S267&lt;&gt;"表示",0,IF($H267&gt;0,$H267,IFERROR($E267*$G267,0))))</f>
        <v/>
      </c>
      <c r="J267" s="3" t="n"/>
      <c r="K267" s="11" t="n"/>
      <c r="L267" s="3" t="n"/>
      <c r="M267" s="3" t="n"/>
      <c r="N267" s="3">
        <f>IF($A267="","",IF($S267&lt;&gt;"表示",0,IF($M267&gt;0,$M267,IFERROR($J267*$L267,0))))</f>
        <v/>
      </c>
      <c r="O267" s="3">
        <f>IF($A267="","",$I267-$N267)</f>
        <v/>
      </c>
      <c r="P267" s="3">
        <f>IF($A267="","",IFERROR($O267/$I267,0))</f>
        <v/>
      </c>
      <c r="Q267" s="11" t="n"/>
      <c r="R267" s="11" t="n"/>
      <c r="S267" s="11" t="inlineStr">
        <is>
          <t>表示</t>
        </is>
      </c>
      <c r="T267" s="11" t="n"/>
      <c r="U267" s="11" t="n"/>
      <c r="V267" s="11" t="n"/>
      <c r="W267" s="11" t="n"/>
      <c r="X267" s="11" t="n"/>
      <c r="Y267" s="11" t="n"/>
      <c r="Z267" s="11" t="n"/>
    </row>
    <row r="268" ht="26.75" customHeight="1">
      <c r="A268" s="11" t="n">
        <v>267</v>
      </c>
      <c r="B268" s="11" t="n"/>
      <c r="C268" s="11" t="n"/>
      <c r="D268" s="11" t="n"/>
      <c r="E268" s="3" t="n"/>
      <c r="F268" s="11" t="n"/>
      <c r="G268" s="3" t="n"/>
      <c r="H268" s="3" t="n"/>
      <c r="I268" s="3">
        <f>IF($A268="","",IF($S268&lt;&gt;"表示",0,IF($H268&gt;0,$H268,IFERROR($E268*$G268,0))))</f>
        <v/>
      </c>
      <c r="J268" s="3" t="n"/>
      <c r="K268" s="11" t="n"/>
      <c r="L268" s="3" t="n"/>
      <c r="M268" s="3" t="n"/>
      <c r="N268" s="3">
        <f>IF($A268="","",IF($S268&lt;&gt;"表示",0,IF($M268&gt;0,$M268,IFERROR($J268*$L268,0))))</f>
        <v/>
      </c>
      <c r="O268" s="3">
        <f>IF($A268="","",$I268-$N268)</f>
        <v/>
      </c>
      <c r="P268" s="3">
        <f>IF($A268="","",IFERROR($O268/$I268,0))</f>
        <v/>
      </c>
      <c r="Q268" s="11" t="n"/>
      <c r="R268" s="11" t="n"/>
      <c r="S268" s="11" t="inlineStr">
        <is>
          <t>表示</t>
        </is>
      </c>
      <c r="T268" s="11" t="n"/>
      <c r="U268" s="11" t="n"/>
      <c r="V268" s="11" t="n"/>
      <c r="W268" s="11" t="n"/>
      <c r="X268" s="11" t="n"/>
      <c r="Y268" s="11" t="n"/>
      <c r="Z268" s="11" t="n"/>
    </row>
    <row r="269" ht="26.75" customHeight="1">
      <c r="A269" s="11" t="n">
        <v>268</v>
      </c>
      <c r="B269" s="11" t="n"/>
      <c r="C269" s="11" t="n"/>
      <c r="D269" s="11" t="n"/>
      <c r="E269" s="3" t="n"/>
      <c r="F269" s="11" t="n"/>
      <c r="G269" s="3" t="n"/>
      <c r="H269" s="3" t="n"/>
      <c r="I269" s="3">
        <f>IF($A269="","",IF($S269&lt;&gt;"表示",0,IF($H269&gt;0,$H269,IFERROR($E269*$G269,0))))</f>
        <v/>
      </c>
      <c r="J269" s="3" t="n"/>
      <c r="K269" s="11" t="n"/>
      <c r="L269" s="3" t="n"/>
      <c r="M269" s="3" t="n"/>
      <c r="N269" s="3">
        <f>IF($A269="","",IF($S269&lt;&gt;"表示",0,IF($M269&gt;0,$M269,IFERROR($J269*$L269,0))))</f>
        <v/>
      </c>
      <c r="O269" s="3">
        <f>IF($A269="","",$I269-$N269)</f>
        <v/>
      </c>
      <c r="P269" s="3">
        <f>IF($A269="","",IFERROR($O269/$I269,0))</f>
        <v/>
      </c>
      <c r="Q269" s="11" t="n"/>
      <c r="R269" s="11" t="n"/>
      <c r="S269" s="11" t="inlineStr">
        <is>
          <t>表示</t>
        </is>
      </c>
      <c r="T269" s="11" t="n"/>
      <c r="U269" s="11" t="n"/>
      <c r="V269" s="11" t="n"/>
      <c r="W269" s="11" t="n"/>
      <c r="X269" s="11" t="n"/>
      <c r="Y269" s="11" t="n"/>
      <c r="Z269" s="11" t="n"/>
    </row>
    <row r="270" ht="26.75" customHeight="1">
      <c r="A270" s="11" t="n">
        <v>269</v>
      </c>
      <c r="B270" s="11" t="n"/>
      <c r="C270" s="11" t="n"/>
      <c r="D270" s="11" t="n"/>
      <c r="E270" s="3" t="n"/>
      <c r="F270" s="11" t="n"/>
      <c r="G270" s="3" t="n"/>
      <c r="H270" s="3" t="n"/>
      <c r="I270" s="3">
        <f>IF($A270="","",IF($S270&lt;&gt;"表示",0,IF($H270&gt;0,$H270,IFERROR($E270*$G270,0))))</f>
        <v/>
      </c>
      <c r="J270" s="3" t="n"/>
      <c r="K270" s="11" t="n"/>
      <c r="L270" s="3" t="n"/>
      <c r="M270" s="3" t="n"/>
      <c r="N270" s="3">
        <f>IF($A270="","",IF($S270&lt;&gt;"表示",0,IF($M270&gt;0,$M270,IFERROR($J270*$L270,0))))</f>
        <v/>
      </c>
      <c r="O270" s="3">
        <f>IF($A270="","",$I270-$N270)</f>
        <v/>
      </c>
      <c r="P270" s="3">
        <f>IF($A270="","",IFERROR($O270/$I270,0))</f>
        <v/>
      </c>
      <c r="Q270" s="11" t="n"/>
      <c r="R270" s="11" t="n"/>
      <c r="S270" s="11" t="inlineStr">
        <is>
          <t>表示</t>
        </is>
      </c>
      <c r="T270" s="11" t="n"/>
      <c r="U270" s="11" t="n"/>
      <c r="V270" s="11" t="n"/>
      <c r="W270" s="11" t="n"/>
      <c r="X270" s="11" t="n"/>
      <c r="Y270" s="11" t="n"/>
      <c r="Z270" s="11" t="n"/>
    </row>
    <row r="271" ht="26.75" customHeight="1">
      <c r="A271" s="11" t="n">
        <v>270</v>
      </c>
      <c r="B271" s="11" t="n"/>
      <c r="C271" s="11" t="n"/>
      <c r="D271" s="11" t="n"/>
      <c r="E271" s="3" t="n"/>
      <c r="F271" s="11" t="n"/>
      <c r="G271" s="3" t="n"/>
      <c r="H271" s="3" t="n"/>
      <c r="I271" s="3">
        <f>IF($A271="","",IF($S271&lt;&gt;"表示",0,IF($H271&gt;0,$H271,IFERROR($E271*$G271,0))))</f>
        <v/>
      </c>
      <c r="J271" s="3" t="n"/>
      <c r="K271" s="11" t="n"/>
      <c r="L271" s="3" t="n"/>
      <c r="M271" s="3" t="n"/>
      <c r="N271" s="3">
        <f>IF($A271="","",IF($S271&lt;&gt;"表示",0,IF($M271&gt;0,$M271,IFERROR($J271*$L271,0))))</f>
        <v/>
      </c>
      <c r="O271" s="3">
        <f>IF($A271="","",$I271-$N271)</f>
        <v/>
      </c>
      <c r="P271" s="3">
        <f>IF($A271="","",IFERROR($O271/$I271,0))</f>
        <v/>
      </c>
      <c r="Q271" s="11" t="n"/>
      <c r="R271" s="11" t="n"/>
      <c r="S271" s="11" t="inlineStr">
        <is>
          <t>表示</t>
        </is>
      </c>
      <c r="T271" s="11" t="n"/>
      <c r="U271" s="11" t="n"/>
      <c r="V271" s="11" t="n"/>
      <c r="W271" s="11" t="n"/>
      <c r="X271" s="11" t="n"/>
      <c r="Y271" s="11" t="n"/>
      <c r="Z271" s="11" t="n"/>
    </row>
    <row r="272" ht="26.75" customHeight="1">
      <c r="A272" s="11" t="n">
        <v>271</v>
      </c>
      <c r="B272" s="11" t="n"/>
      <c r="C272" s="11" t="n"/>
      <c r="D272" s="11" t="n"/>
      <c r="E272" s="3" t="n"/>
      <c r="F272" s="11" t="n"/>
      <c r="G272" s="3" t="n"/>
      <c r="H272" s="3" t="n"/>
      <c r="I272" s="3">
        <f>IF($A272="","",IF($S272&lt;&gt;"表示",0,IF($H272&gt;0,$H272,IFERROR($E272*$G272,0))))</f>
        <v/>
      </c>
      <c r="J272" s="3" t="n"/>
      <c r="K272" s="11" t="n"/>
      <c r="L272" s="3" t="n"/>
      <c r="M272" s="3" t="n"/>
      <c r="N272" s="3">
        <f>IF($A272="","",IF($S272&lt;&gt;"表示",0,IF($M272&gt;0,$M272,IFERROR($J272*$L272,0))))</f>
        <v/>
      </c>
      <c r="O272" s="3">
        <f>IF($A272="","",$I272-$N272)</f>
        <v/>
      </c>
      <c r="P272" s="3">
        <f>IF($A272="","",IFERROR($O272/$I272,0))</f>
        <v/>
      </c>
      <c r="Q272" s="11" t="n"/>
      <c r="R272" s="11" t="n"/>
      <c r="S272" s="11" t="inlineStr">
        <is>
          <t>表示</t>
        </is>
      </c>
      <c r="T272" s="11" t="n"/>
      <c r="U272" s="11" t="n"/>
      <c r="V272" s="11" t="n"/>
      <c r="W272" s="11" t="n"/>
      <c r="X272" s="11" t="n"/>
      <c r="Y272" s="11" t="n"/>
      <c r="Z272" s="11" t="n"/>
    </row>
    <row r="273" ht="26.75" customHeight="1">
      <c r="A273" s="11" t="n">
        <v>272</v>
      </c>
      <c r="B273" s="11" t="n"/>
      <c r="C273" s="11" t="n"/>
      <c r="D273" s="11" t="n"/>
      <c r="E273" s="3" t="n"/>
      <c r="F273" s="11" t="n"/>
      <c r="G273" s="3" t="n"/>
      <c r="H273" s="3" t="n"/>
      <c r="I273" s="3">
        <f>IF($A273="","",IF($S273&lt;&gt;"表示",0,IF($H273&gt;0,$H273,IFERROR($E273*$G273,0))))</f>
        <v/>
      </c>
      <c r="J273" s="3" t="n"/>
      <c r="K273" s="11" t="n"/>
      <c r="L273" s="3" t="n"/>
      <c r="M273" s="3" t="n"/>
      <c r="N273" s="3">
        <f>IF($A273="","",IF($S273&lt;&gt;"表示",0,IF($M273&gt;0,$M273,IFERROR($J273*$L273,0))))</f>
        <v/>
      </c>
      <c r="O273" s="3">
        <f>IF($A273="","",$I273-$N273)</f>
        <v/>
      </c>
      <c r="P273" s="3">
        <f>IF($A273="","",IFERROR($O273/$I273,0))</f>
        <v/>
      </c>
      <c r="Q273" s="11" t="n"/>
      <c r="R273" s="11" t="n"/>
      <c r="S273" s="11" t="inlineStr">
        <is>
          <t>表示</t>
        </is>
      </c>
      <c r="T273" s="11" t="n"/>
      <c r="U273" s="11" t="n"/>
      <c r="V273" s="11" t="n"/>
      <c r="W273" s="11" t="n"/>
      <c r="X273" s="11" t="n"/>
      <c r="Y273" s="11" t="n"/>
      <c r="Z273" s="11" t="n"/>
    </row>
    <row r="274" ht="26.75" customHeight="1">
      <c r="A274" s="11" t="n">
        <v>273</v>
      </c>
      <c r="B274" s="11" t="n"/>
      <c r="C274" s="11" t="n"/>
      <c r="D274" s="11" t="n"/>
      <c r="E274" s="3" t="n"/>
      <c r="F274" s="11" t="n"/>
      <c r="G274" s="3" t="n"/>
      <c r="H274" s="3" t="n"/>
      <c r="I274" s="3">
        <f>IF($A274="","",IF($S274&lt;&gt;"表示",0,IF($H274&gt;0,$H274,IFERROR($E274*$G274,0))))</f>
        <v/>
      </c>
      <c r="J274" s="3" t="n"/>
      <c r="K274" s="11" t="n"/>
      <c r="L274" s="3" t="n"/>
      <c r="M274" s="3" t="n"/>
      <c r="N274" s="3">
        <f>IF($A274="","",IF($S274&lt;&gt;"表示",0,IF($M274&gt;0,$M274,IFERROR($J274*$L274,0))))</f>
        <v/>
      </c>
      <c r="O274" s="3">
        <f>IF($A274="","",$I274-$N274)</f>
        <v/>
      </c>
      <c r="P274" s="3">
        <f>IF($A274="","",IFERROR($O274/$I274,0))</f>
        <v/>
      </c>
      <c r="Q274" s="11" t="n"/>
      <c r="R274" s="11" t="n"/>
      <c r="S274" s="11" t="inlineStr">
        <is>
          <t>表示</t>
        </is>
      </c>
      <c r="T274" s="11" t="n"/>
      <c r="U274" s="11" t="n"/>
      <c r="V274" s="11" t="n"/>
      <c r="W274" s="11" t="n"/>
      <c r="X274" s="11" t="n"/>
      <c r="Y274" s="11" t="n"/>
      <c r="Z274" s="11" t="n"/>
    </row>
    <row r="275" ht="26.75" customHeight="1">
      <c r="A275" s="11" t="n">
        <v>274</v>
      </c>
      <c r="B275" s="11" t="n"/>
      <c r="C275" s="11" t="n"/>
      <c r="D275" s="11" t="n"/>
      <c r="E275" s="3" t="n"/>
      <c r="F275" s="11" t="n"/>
      <c r="G275" s="3" t="n"/>
      <c r="H275" s="3" t="n"/>
      <c r="I275" s="3">
        <f>IF($A275="","",IF($S275&lt;&gt;"表示",0,IF($H275&gt;0,$H275,IFERROR($E275*$G275,0))))</f>
        <v/>
      </c>
      <c r="J275" s="3" t="n"/>
      <c r="K275" s="11" t="n"/>
      <c r="L275" s="3" t="n"/>
      <c r="M275" s="3" t="n"/>
      <c r="N275" s="3">
        <f>IF($A275="","",IF($S275&lt;&gt;"表示",0,IF($M275&gt;0,$M275,IFERROR($J275*$L275,0))))</f>
        <v/>
      </c>
      <c r="O275" s="3">
        <f>IF($A275="","",$I275-$N275)</f>
        <v/>
      </c>
      <c r="P275" s="3">
        <f>IF($A275="","",IFERROR($O275/$I275,0))</f>
        <v/>
      </c>
      <c r="Q275" s="11" t="n"/>
      <c r="R275" s="11" t="n"/>
      <c r="S275" s="11" t="inlineStr">
        <is>
          <t>表示</t>
        </is>
      </c>
      <c r="T275" s="11" t="n"/>
      <c r="U275" s="11" t="n"/>
      <c r="V275" s="11" t="n"/>
      <c r="W275" s="11" t="n"/>
      <c r="X275" s="11" t="n"/>
      <c r="Y275" s="11" t="n"/>
      <c r="Z275" s="11" t="n"/>
    </row>
    <row r="276" ht="26.75" customHeight="1">
      <c r="A276" s="11" t="n">
        <v>275</v>
      </c>
      <c r="B276" s="11" t="n"/>
      <c r="C276" s="11" t="n"/>
      <c r="D276" s="11" t="n"/>
      <c r="E276" s="3" t="n"/>
      <c r="F276" s="11" t="n"/>
      <c r="G276" s="3" t="n"/>
      <c r="H276" s="3" t="n"/>
      <c r="I276" s="3">
        <f>IF($A276="","",IF($S276&lt;&gt;"表示",0,IF($H276&gt;0,$H276,IFERROR($E276*$G276,0))))</f>
        <v/>
      </c>
      <c r="J276" s="3" t="n"/>
      <c r="K276" s="11" t="n"/>
      <c r="L276" s="3" t="n"/>
      <c r="M276" s="3" t="n"/>
      <c r="N276" s="3">
        <f>IF($A276="","",IF($S276&lt;&gt;"表示",0,IF($M276&gt;0,$M276,IFERROR($J276*$L276,0))))</f>
        <v/>
      </c>
      <c r="O276" s="3">
        <f>IF($A276="","",$I276-$N276)</f>
        <v/>
      </c>
      <c r="P276" s="3">
        <f>IF($A276="","",IFERROR($O276/$I276,0))</f>
        <v/>
      </c>
      <c r="Q276" s="11" t="n"/>
      <c r="R276" s="11" t="n"/>
      <c r="S276" s="11" t="inlineStr">
        <is>
          <t>表示</t>
        </is>
      </c>
      <c r="T276" s="11" t="n"/>
      <c r="U276" s="11" t="n"/>
      <c r="V276" s="11" t="n"/>
      <c r="W276" s="11" t="n"/>
      <c r="X276" s="11" t="n"/>
      <c r="Y276" s="11" t="n"/>
      <c r="Z276" s="11" t="n"/>
    </row>
    <row r="277" ht="26.75" customHeight="1">
      <c r="A277" s="11" t="n">
        <v>276</v>
      </c>
      <c r="B277" s="11" t="n"/>
      <c r="C277" s="11" t="n"/>
      <c r="D277" s="11" t="n"/>
      <c r="E277" s="3" t="n"/>
      <c r="F277" s="11" t="n"/>
      <c r="G277" s="3" t="n"/>
      <c r="H277" s="3" t="n"/>
      <c r="I277" s="3">
        <f>IF($A277="","",IF($S277&lt;&gt;"表示",0,IF($H277&gt;0,$H277,IFERROR($E277*$G277,0))))</f>
        <v/>
      </c>
      <c r="J277" s="3" t="n"/>
      <c r="K277" s="11" t="n"/>
      <c r="L277" s="3" t="n"/>
      <c r="M277" s="3" t="n"/>
      <c r="N277" s="3">
        <f>IF($A277="","",IF($S277&lt;&gt;"表示",0,IF($M277&gt;0,$M277,IFERROR($J277*$L277,0))))</f>
        <v/>
      </c>
      <c r="O277" s="3">
        <f>IF($A277="","",$I277-$N277)</f>
        <v/>
      </c>
      <c r="P277" s="3">
        <f>IF($A277="","",IFERROR($O277/$I277,0))</f>
        <v/>
      </c>
      <c r="Q277" s="11" t="n"/>
      <c r="R277" s="11" t="n"/>
      <c r="S277" s="11" t="inlineStr">
        <is>
          <t>表示</t>
        </is>
      </c>
      <c r="T277" s="11" t="n"/>
      <c r="U277" s="11" t="n"/>
      <c r="V277" s="11" t="n"/>
      <c r="W277" s="11" t="n"/>
      <c r="X277" s="11" t="n"/>
      <c r="Y277" s="11" t="n"/>
      <c r="Z277" s="11" t="n"/>
    </row>
    <row r="278" ht="26.75" customHeight="1">
      <c r="A278" s="11" t="n">
        <v>277</v>
      </c>
      <c r="B278" s="11" t="n"/>
      <c r="C278" s="11" t="n"/>
      <c r="D278" s="11" t="n"/>
      <c r="E278" s="3" t="n"/>
      <c r="F278" s="11" t="n"/>
      <c r="G278" s="3" t="n"/>
      <c r="H278" s="3" t="n"/>
      <c r="I278" s="3">
        <f>IF($A278="","",IF($S278&lt;&gt;"表示",0,IF($H278&gt;0,$H278,IFERROR($E278*$G278,0))))</f>
        <v/>
      </c>
      <c r="J278" s="3" t="n"/>
      <c r="K278" s="11" t="n"/>
      <c r="L278" s="3" t="n"/>
      <c r="M278" s="3" t="n"/>
      <c r="N278" s="3">
        <f>IF($A278="","",IF($S278&lt;&gt;"表示",0,IF($M278&gt;0,$M278,IFERROR($J278*$L278,0))))</f>
        <v/>
      </c>
      <c r="O278" s="3">
        <f>IF($A278="","",$I278-$N278)</f>
        <v/>
      </c>
      <c r="P278" s="3">
        <f>IF($A278="","",IFERROR($O278/$I278,0))</f>
        <v/>
      </c>
      <c r="Q278" s="11" t="n"/>
      <c r="R278" s="11" t="n"/>
      <c r="S278" s="11" t="inlineStr">
        <is>
          <t>表示</t>
        </is>
      </c>
      <c r="T278" s="11" t="n"/>
      <c r="U278" s="11" t="n"/>
      <c r="V278" s="11" t="n"/>
      <c r="W278" s="11" t="n"/>
      <c r="X278" s="11" t="n"/>
      <c r="Y278" s="11" t="n"/>
      <c r="Z278" s="11" t="n"/>
    </row>
    <row r="279" ht="26.75" customHeight="1">
      <c r="A279" s="11" t="n">
        <v>278</v>
      </c>
      <c r="B279" s="11" t="n"/>
      <c r="C279" s="11" t="n"/>
      <c r="D279" s="11" t="n"/>
      <c r="E279" s="3" t="n"/>
      <c r="F279" s="11" t="n"/>
      <c r="G279" s="3" t="n"/>
      <c r="H279" s="3" t="n"/>
      <c r="I279" s="3">
        <f>IF($A279="","",IF($S279&lt;&gt;"表示",0,IF($H279&gt;0,$H279,IFERROR($E279*$G279,0))))</f>
        <v/>
      </c>
      <c r="J279" s="3" t="n"/>
      <c r="K279" s="11" t="n"/>
      <c r="L279" s="3" t="n"/>
      <c r="M279" s="3" t="n"/>
      <c r="N279" s="3">
        <f>IF($A279="","",IF($S279&lt;&gt;"表示",0,IF($M279&gt;0,$M279,IFERROR($J279*$L279,0))))</f>
        <v/>
      </c>
      <c r="O279" s="3">
        <f>IF($A279="","",$I279-$N279)</f>
        <v/>
      </c>
      <c r="P279" s="3">
        <f>IF($A279="","",IFERROR($O279/$I279,0))</f>
        <v/>
      </c>
      <c r="Q279" s="11" t="n"/>
      <c r="R279" s="11" t="n"/>
      <c r="S279" s="11" t="inlineStr">
        <is>
          <t>表示</t>
        </is>
      </c>
      <c r="T279" s="11" t="n"/>
      <c r="U279" s="11" t="n"/>
      <c r="V279" s="11" t="n"/>
      <c r="W279" s="11" t="n"/>
      <c r="X279" s="11" t="n"/>
      <c r="Y279" s="11" t="n"/>
      <c r="Z279" s="11" t="n"/>
    </row>
    <row r="280" ht="26.75" customHeight="1">
      <c r="A280" s="11" t="n">
        <v>279</v>
      </c>
      <c r="B280" s="11" t="n"/>
      <c r="C280" s="11" t="n"/>
      <c r="D280" s="11" t="n"/>
      <c r="E280" s="3" t="n"/>
      <c r="F280" s="11" t="n"/>
      <c r="G280" s="3" t="n"/>
      <c r="H280" s="3" t="n"/>
      <c r="I280" s="3">
        <f>IF($A280="","",IF($S280&lt;&gt;"表示",0,IF($H280&gt;0,$H280,IFERROR($E280*$G280,0))))</f>
        <v/>
      </c>
      <c r="J280" s="3" t="n"/>
      <c r="K280" s="11" t="n"/>
      <c r="L280" s="3" t="n"/>
      <c r="M280" s="3" t="n"/>
      <c r="N280" s="3">
        <f>IF($A280="","",IF($S280&lt;&gt;"表示",0,IF($M280&gt;0,$M280,IFERROR($J280*$L280,0))))</f>
        <v/>
      </c>
      <c r="O280" s="3">
        <f>IF($A280="","",$I280-$N280)</f>
        <v/>
      </c>
      <c r="P280" s="3">
        <f>IF($A280="","",IFERROR($O280/$I280,0))</f>
        <v/>
      </c>
      <c r="Q280" s="11" t="n"/>
      <c r="R280" s="11" t="n"/>
      <c r="S280" s="11" t="inlineStr">
        <is>
          <t>表示</t>
        </is>
      </c>
      <c r="T280" s="11" t="n"/>
      <c r="U280" s="11" t="n"/>
      <c r="V280" s="11" t="n"/>
      <c r="W280" s="11" t="n"/>
      <c r="X280" s="11" t="n"/>
      <c r="Y280" s="11" t="n"/>
      <c r="Z280" s="11" t="n"/>
    </row>
    <row r="281" ht="26.75" customHeight="1">
      <c r="A281" s="11" t="n">
        <v>280</v>
      </c>
      <c r="B281" s="11" t="n"/>
      <c r="C281" s="11" t="n"/>
      <c r="D281" s="11" t="n"/>
      <c r="E281" s="3" t="n"/>
      <c r="F281" s="11" t="n"/>
      <c r="G281" s="3" t="n"/>
      <c r="H281" s="3" t="n"/>
      <c r="I281" s="3">
        <f>IF($A281="","",IF($S281&lt;&gt;"表示",0,IF($H281&gt;0,$H281,IFERROR($E281*$G281,0))))</f>
        <v/>
      </c>
      <c r="J281" s="3" t="n"/>
      <c r="K281" s="11" t="n"/>
      <c r="L281" s="3" t="n"/>
      <c r="M281" s="3" t="n"/>
      <c r="N281" s="3">
        <f>IF($A281="","",IF($S281&lt;&gt;"表示",0,IF($M281&gt;0,$M281,IFERROR($J281*$L281,0))))</f>
        <v/>
      </c>
      <c r="O281" s="3">
        <f>IF($A281="","",$I281-$N281)</f>
        <v/>
      </c>
      <c r="P281" s="3">
        <f>IF($A281="","",IFERROR($O281/$I281,0))</f>
        <v/>
      </c>
      <c r="Q281" s="11" t="n"/>
      <c r="R281" s="11" t="n"/>
      <c r="S281" s="11" t="inlineStr">
        <is>
          <t>表示</t>
        </is>
      </c>
      <c r="T281" s="11" t="n"/>
      <c r="U281" s="11" t="n"/>
      <c r="V281" s="11" t="n"/>
      <c r="W281" s="11" t="n"/>
      <c r="X281" s="11" t="n"/>
      <c r="Y281" s="11" t="n"/>
      <c r="Z281" s="11" t="n"/>
    </row>
    <row r="282" ht="26.75" customHeight="1">
      <c r="A282" s="11" t="n">
        <v>281</v>
      </c>
      <c r="B282" s="11" t="n"/>
      <c r="C282" s="11" t="n"/>
      <c r="D282" s="11" t="n"/>
      <c r="E282" s="3" t="n"/>
      <c r="F282" s="11" t="n"/>
      <c r="G282" s="3" t="n"/>
      <c r="H282" s="3" t="n"/>
      <c r="I282" s="3">
        <f>IF($A282="","",IF($S282&lt;&gt;"表示",0,IF($H282&gt;0,$H282,IFERROR($E282*$G282,0))))</f>
        <v/>
      </c>
      <c r="J282" s="3" t="n"/>
      <c r="K282" s="11" t="n"/>
      <c r="L282" s="3" t="n"/>
      <c r="M282" s="3" t="n"/>
      <c r="N282" s="3">
        <f>IF($A282="","",IF($S282&lt;&gt;"表示",0,IF($M282&gt;0,$M282,IFERROR($J282*$L282,0))))</f>
        <v/>
      </c>
      <c r="O282" s="3">
        <f>IF($A282="","",$I282-$N282)</f>
        <v/>
      </c>
      <c r="P282" s="3">
        <f>IF($A282="","",IFERROR($O282/$I282,0))</f>
        <v/>
      </c>
      <c r="Q282" s="11" t="n"/>
      <c r="R282" s="11" t="n"/>
      <c r="S282" s="11" t="inlineStr">
        <is>
          <t>表示</t>
        </is>
      </c>
      <c r="T282" s="11" t="n"/>
      <c r="U282" s="11" t="n"/>
      <c r="V282" s="11" t="n"/>
      <c r="W282" s="11" t="n"/>
      <c r="X282" s="11" t="n"/>
      <c r="Y282" s="11" t="n"/>
      <c r="Z282" s="11" t="n"/>
    </row>
    <row r="283" ht="26.75" customHeight="1">
      <c r="A283" s="11" t="n">
        <v>282</v>
      </c>
      <c r="B283" s="11" t="n"/>
      <c r="C283" s="11" t="n"/>
      <c r="D283" s="11" t="n"/>
      <c r="E283" s="3" t="n"/>
      <c r="F283" s="11" t="n"/>
      <c r="G283" s="3" t="n"/>
      <c r="H283" s="3" t="n"/>
      <c r="I283" s="3">
        <f>IF($A283="","",IF($S283&lt;&gt;"表示",0,IF($H283&gt;0,$H283,IFERROR($E283*$G283,0))))</f>
        <v/>
      </c>
      <c r="J283" s="3" t="n"/>
      <c r="K283" s="11" t="n"/>
      <c r="L283" s="3" t="n"/>
      <c r="M283" s="3" t="n"/>
      <c r="N283" s="3">
        <f>IF($A283="","",IF($S283&lt;&gt;"表示",0,IF($M283&gt;0,$M283,IFERROR($J283*$L283,0))))</f>
        <v/>
      </c>
      <c r="O283" s="3">
        <f>IF($A283="","",$I283-$N283)</f>
        <v/>
      </c>
      <c r="P283" s="3">
        <f>IF($A283="","",IFERROR($O283/$I283,0))</f>
        <v/>
      </c>
      <c r="Q283" s="11" t="n"/>
      <c r="R283" s="11" t="n"/>
      <c r="S283" s="11" t="inlineStr">
        <is>
          <t>表示</t>
        </is>
      </c>
      <c r="T283" s="11" t="n"/>
      <c r="U283" s="11" t="n"/>
      <c r="V283" s="11" t="n"/>
      <c r="W283" s="11" t="n"/>
      <c r="X283" s="11" t="n"/>
      <c r="Y283" s="11" t="n"/>
      <c r="Z283" s="11" t="n"/>
    </row>
    <row r="284" ht="26.75" customHeight="1">
      <c r="A284" s="11" t="n">
        <v>283</v>
      </c>
      <c r="B284" s="11" t="n"/>
      <c r="C284" s="11" t="n"/>
      <c r="D284" s="11" t="n"/>
      <c r="E284" s="3" t="n"/>
      <c r="F284" s="11" t="n"/>
      <c r="G284" s="3" t="n"/>
      <c r="H284" s="3" t="n"/>
      <c r="I284" s="3">
        <f>IF($A284="","",IF($S284&lt;&gt;"表示",0,IF($H284&gt;0,$H284,IFERROR($E284*$G284,0))))</f>
        <v/>
      </c>
      <c r="J284" s="3" t="n"/>
      <c r="K284" s="11" t="n"/>
      <c r="L284" s="3" t="n"/>
      <c r="M284" s="3" t="n"/>
      <c r="N284" s="3">
        <f>IF($A284="","",IF($S284&lt;&gt;"表示",0,IF($M284&gt;0,$M284,IFERROR($J284*$L284,0))))</f>
        <v/>
      </c>
      <c r="O284" s="3">
        <f>IF($A284="","",$I284-$N284)</f>
        <v/>
      </c>
      <c r="P284" s="3">
        <f>IF($A284="","",IFERROR($O284/$I284,0))</f>
        <v/>
      </c>
      <c r="Q284" s="11" t="n"/>
      <c r="R284" s="11" t="n"/>
      <c r="S284" s="11" t="inlineStr">
        <is>
          <t>表示</t>
        </is>
      </c>
      <c r="T284" s="11" t="n"/>
      <c r="U284" s="11" t="n"/>
      <c r="V284" s="11" t="n"/>
      <c r="W284" s="11" t="n"/>
      <c r="X284" s="11" t="n"/>
      <c r="Y284" s="11" t="n"/>
      <c r="Z284" s="11" t="n"/>
    </row>
    <row r="285" ht="26.75" customHeight="1">
      <c r="A285" s="11" t="n">
        <v>284</v>
      </c>
      <c r="B285" s="11" t="n"/>
      <c r="C285" s="11" t="n"/>
      <c r="D285" s="11" t="n"/>
      <c r="E285" s="3" t="n"/>
      <c r="F285" s="11" t="n"/>
      <c r="G285" s="3" t="n"/>
      <c r="H285" s="3" t="n"/>
      <c r="I285" s="3">
        <f>IF($A285="","",IF($S285&lt;&gt;"表示",0,IF($H285&gt;0,$H285,IFERROR($E285*$G285,0))))</f>
        <v/>
      </c>
      <c r="J285" s="3" t="n"/>
      <c r="K285" s="11" t="n"/>
      <c r="L285" s="3" t="n"/>
      <c r="M285" s="3" t="n"/>
      <c r="N285" s="3">
        <f>IF($A285="","",IF($S285&lt;&gt;"表示",0,IF($M285&gt;0,$M285,IFERROR($J285*$L285,0))))</f>
        <v/>
      </c>
      <c r="O285" s="3">
        <f>IF($A285="","",$I285-$N285)</f>
        <v/>
      </c>
      <c r="P285" s="3">
        <f>IF($A285="","",IFERROR($O285/$I285,0))</f>
        <v/>
      </c>
      <c r="Q285" s="11" t="n"/>
      <c r="R285" s="11" t="n"/>
      <c r="S285" s="11" t="inlineStr">
        <is>
          <t>表示</t>
        </is>
      </c>
      <c r="T285" s="11" t="n"/>
      <c r="U285" s="11" t="n"/>
      <c r="V285" s="11" t="n"/>
      <c r="W285" s="11" t="n"/>
      <c r="X285" s="11" t="n"/>
      <c r="Y285" s="11" t="n"/>
      <c r="Z285" s="11" t="n"/>
    </row>
    <row r="286" ht="26.75" customHeight="1">
      <c r="A286" s="11" t="n">
        <v>285</v>
      </c>
      <c r="B286" s="11" t="n"/>
      <c r="C286" s="11" t="n"/>
      <c r="D286" s="11" t="n"/>
      <c r="E286" s="3" t="n"/>
      <c r="F286" s="11" t="n"/>
      <c r="G286" s="3" t="n"/>
      <c r="H286" s="3" t="n"/>
      <c r="I286" s="3">
        <f>IF($A286="","",IF($S286&lt;&gt;"表示",0,IF($H286&gt;0,$H286,IFERROR($E286*$G286,0))))</f>
        <v/>
      </c>
      <c r="J286" s="3" t="n"/>
      <c r="K286" s="11" t="n"/>
      <c r="L286" s="3" t="n"/>
      <c r="M286" s="3" t="n"/>
      <c r="N286" s="3">
        <f>IF($A286="","",IF($S286&lt;&gt;"表示",0,IF($M286&gt;0,$M286,IFERROR($J286*$L286,0))))</f>
        <v/>
      </c>
      <c r="O286" s="3">
        <f>IF($A286="","",$I286-$N286)</f>
        <v/>
      </c>
      <c r="P286" s="3">
        <f>IF($A286="","",IFERROR($O286/$I286,0))</f>
        <v/>
      </c>
      <c r="Q286" s="11" t="n"/>
      <c r="R286" s="11" t="n"/>
      <c r="S286" s="11" t="inlineStr">
        <is>
          <t>表示</t>
        </is>
      </c>
      <c r="T286" s="11" t="n"/>
      <c r="U286" s="11" t="n"/>
      <c r="V286" s="11" t="n"/>
      <c r="W286" s="11" t="n"/>
      <c r="X286" s="11" t="n"/>
      <c r="Y286" s="11" t="n"/>
      <c r="Z286" s="11" t="n"/>
    </row>
    <row r="287" ht="26.75" customHeight="1">
      <c r="A287" s="11" t="n">
        <v>286</v>
      </c>
      <c r="B287" s="11" t="n"/>
      <c r="C287" s="11" t="n"/>
      <c r="D287" s="11" t="n"/>
      <c r="E287" s="3" t="n"/>
      <c r="F287" s="11" t="n"/>
      <c r="G287" s="3" t="n"/>
      <c r="H287" s="3" t="n"/>
      <c r="I287" s="3">
        <f>IF($A287="","",IF($S287&lt;&gt;"表示",0,IF($H287&gt;0,$H287,IFERROR($E287*$G287,0))))</f>
        <v/>
      </c>
      <c r="J287" s="3" t="n"/>
      <c r="K287" s="11" t="n"/>
      <c r="L287" s="3" t="n"/>
      <c r="M287" s="3" t="n"/>
      <c r="N287" s="3">
        <f>IF($A287="","",IF($S287&lt;&gt;"表示",0,IF($M287&gt;0,$M287,IFERROR($J287*$L287,0))))</f>
        <v/>
      </c>
      <c r="O287" s="3">
        <f>IF($A287="","",$I287-$N287)</f>
        <v/>
      </c>
      <c r="P287" s="3">
        <f>IF($A287="","",IFERROR($O287/$I287,0))</f>
        <v/>
      </c>
      <c r="Q287" s="11" t="n"/>
      <c r="R287" s="11" t="n"/>
      <c r="S287" s="11" t="inlineStr">
        <is>
          <t>表示</t>
        </is>
      </c>
      <c r="T287" s="11" t="n"/>
      <c r="U287" s="11" t="n"/>
      <c r="V287" s="11" t="n"/>
      <c r="W287" s="11" t="n"/>
      <c r="X287" s="11" t="n"/>
      <c r="Y287" s="11" t="n"/>
      <c r="Z287" s="11" t="n"/>
    </row>
    <row r="288" ht="26.75" customHeight="1">
      <c r="A288" s="11" t="n">
        <v>287</v>
      </c>
      <c r="B288" s="11" t="n"/>
      <c r="C288" s="11" t="n"/>
      <c r="D288" s="11" t="n"/>
      <c r="E288" s="3" t="n"/>
      <c r="F288" s="11" t="n"/>
      <c r="G288" s="3" t="n"/>
      <c r="H288" s="3" t="n"/>
      <c r="I288" s="3">
        <f>IF($A288="","",IF($S288&lt;&gt;"表示",0,IF($H288&gt;0,$H288,IFERROR($E288*$G288,0))))</f>
        <v/>
      </c>
      <c r="J288" s="3" t="n"/>
      <c r="K288" s="11" t="n"/>
      <c r="L288" s="3" t="n"/>
      <c r="M288" s="3" t="n"/>
      <c r="N288" s="3">
        <f>IF($A288="","",IF($S288&lt;&gt;"表示",0,IF($M288&gt;0,$M288,IFERROR($J288*$L288,0))))</f>
        <v/>
      </c>
      <c r="O288" s="3">
        <f>IF($A288="","",$I288-$N288)</f>
        <v/>
      </c>
      <c r="P288" s="3">
        <f>IF($A288="","",IFERROR($O288/$I288,0))</f>
        <v/>
      </c>
      <c r="Q288" s="11" t="n"/>
      <c r="R288" s="11" t="n"/>
      <c r="S288" s="11" t="inlineStr">
        <is>
          <t>表示</t>
        </is>
      </c>
      <c r="T288" s="11" t="n"/>
      <c r="U288" s="11" t="n"/>
      <c r="V288" s="11" t="n"/>
      <c r="W288" s="11" t="n"/>
      <c r="X288" s="11" t="n"/>
      <c r="Y288" s="11" t="n"/>
      <c r="Z288" s="11" t="n"/>
    </row>
    <row r="289" ht="26.75" customHeight="1">
      <c r="A289" s="11" t="n">
        <v>288</v>
      </c>
      <c r="B289" s="11" t="n"/>
      <c r="C289" s="11" t="n"/>
      <c r="D289" s="11" t="n"/>
      <c r="E289" s="3" t="n"/>
      <c r="F289" s="11" t="n"/>
      <c r="G289" s="3" t="n"/>
      <c r="H289" s="3" t="n"/>
      <c r="I289" s="3">
        <f>IF($A289="","",IF($S289&lt;&gt;"表示",0,IF($H289&gt;0,$H289,IFERROR($E289*$G289,0))))</f>
        <v/>
      </c>
      <c r="J289" s="3" t="n"/>
      <c r="K289" s="11" t="n"/>
      <c r="L289" s="3" t="n"/>
      <c r="M289" s="3" t="n"/>
      <c r="N289" s="3">
        <f>IF($A289="","",IF($S289&lt;&gt;"表示",0,IF($M289&gt;0,$M289,IFERROR($J289*$L289,0))))</f>
        <v/>
      </c>
      <c r="O289" s="3">
        <f>IF($A289="","",$I289-$N289)</f>
        <v/>
      </c>
      <c r="P289" s="3">
        <f>IF($A289="","",IFERROR($O289/$I289,0))</f>
        <v/>
      </c>
      <c r="Q289" s="11" t="n"/>
      <c r="R289" s="11" t="n"/>
      <c r="S289" s="11" t="inlineStr">
        <is>
          <t>表示</t>
        </is>
      </c>
      <c r="T289" s="11" t="n"/>
      <c r="U289" s="11" t="n"/>
      <c r="V289" s="11" t="n"/>
      <c r="W289" s="11" t="n"/>
      <c r="X289" s="11" t="n"/>
      <c r="Y289" s="11" t="n"/>
      <c r="Z289" s="11" t="n"/>
    </row>
    <row r="290" ht="26.75" customHeight="1">
      <c r="A290" s="11" t="n">
        <v>289</v>
      </c>
      <c r="B290" s="11" t="n"/>
      <c r="C290" s="11" t="n"/>
      <c r="D290" s="11" t="n"/>
      <c r="E290" s="3" t="n"/>
      <c r="F290" s="11" t="n"/>
      <c r="G290" s="3" t="n"/>
      <c r="H290" s="3" t="n"/>
      <c r="I290" s="3">
        <f>IF($A290="","",IF($S290&lt;&gt;"表示",0,IF($H290&gt;0,$H290,IFERROR($E290*$G290,0))))</f>
        <v/>
      </c>
      <c r="J290" s="3" t="n"/>
      <c r="K290" s="11" t="n"/>
      <c r="L290" s="3" t="n"/>
      <c r="M290" s="3" t="n"/>
      <c r="N290" s="3">
        <f>IF($A290="","",IF($S290&lt;&gt;"表示",0,IF($M290&gt;0,$M290,IFERROR($J290*$L290,0))))</f>
        <v/>
      </c>
      <c r="O290" s="3">
        <f>IF($A290="","",$I290-$N290)</f>
        <v/>
      </c>
      <c r="P290" s="3">
        <f>IF($A290="","",IFERROR($O290/$I290,0))</f>
        <v/>
      </c>
      <c r="Q290" s="11" t="n"/>
      <c r="R290" s="11" t="n"/>
      <c r="S290" s="11" t="inlineStr">
        <is>
          <t>表示</t>
        </is>
      </c>
      <c r="T290" s="11" t="n"/>
      <c r="U290" s="11" t="n"/>
      <c r="V290" s="11" t="n"/>
      <c r="W290" s="11" t="n"/>
      <c r="X290" s="11" t="n"/>
      <c r="Y290" s="11" t="n"/>
      <c r="Z290" s="11" t="n"/>
    </row>
    <row r="291" ht="26.75" customHeight="1">
      <c r="A291" s="11" t="n">
        <v>290</v>
      </c>
      <c r="B291" s="11" t="n"/>
      <c r="C291" s="11" t="n"/>
      <c r="D291" s="11" t="n"/>
      <c r="E291" s="3" t="n"/>
      <c r="F291" s="11" t="n"/>
      <c r="G291" s="3" t="n"/>
      <c r="H291" s="3" t="n"/>
      <c r="I291" s="3">
        <f>IF($A291="","",IF($S291&lt;&gt;"表示",0,IF($H291&gt;0,$H291,IFERROR($E291*$G291,0))))</f>
        <v/>
      </c>
      <c r="J291" s="3" t="n"/>
      <c r="K291" s="11" t="n"/>
      <c r="L291" s="3" t="n"/>
      <c r="M291" s="3" t="n"/>
      <c r="N291" s="3">
        <f>IF($A291="","",IF($S291&lt;&gt;"表示",0,IF($M291&gt;0,$M291,IFERROR($J291*$L291,0))))</f>
        <v/>
      </c>
      <c r="O291" s="3">
        <f>IF($A291="","",$I291-$N291)</f>
        <v/>
      </c>
      <c r="P291" s="3">
        <f>IF($A291="","",IFERROR($O291/$I291,0))</f>
        <v/>
      </c>
      <c r="Q291" s="11" t="n"/>
      <c r="R291" s="11" t="n"/>
      <c r="S291" s="11" t="inlineStr">
        <is>
          <t>表示</t>
        </is>
      </c>
      <c r="T291" s="11" t="n"/>
      <c r="U291" s="11" t="n"/>
      <c r="V291" s="11" t="n"/>
      <c r="W291" s="11" t="n"/>
      <c r="X291" s="11" t="n"/>
      <c r="Y291" s="11" t="n"/>
      <c r="Z291" s="11" t="n"/>
    </row>
    <row r="292" ht="26.75" customHeight="1">
      <c r="A292" s="11" t="n">
        <v>291</v>
      </c>
      <c r="B292" s="11" t="n"/>
      <c r="C292" s="11" t="n"/>
      <c r="D292" s="11" t="n"/>
      <c r="E292" s="3" t="n"/>
      <c r="F292" s="11" t="n"/>
      <c r="G292" s="3" t="n"/>
      <c r="H292" s="3" t="n"/>
      <c r="I292" s="3">
        <f>IF($A292="","",IF($S292&lt;&gt;"表示",0,IF($H292&gt;0,$H292,IFERROR($E292*$G292,0))))</f>
        <v/>
      </c>
      <c r="J292" s="3" t="n"/>
      <c r="K292" s="11" t="n"/>
      <c r="L292" s="3" t="n"/>
      <c r="M292" s="3" t="n"/>
      <c r="N292" s="3">
        <f>IF($A292="","",IF($S292&lt;&gt;"表示",0,IF($M292&gt;0,$M292,IFERROR($J292*$L292,0))))</f>
        <v/>
      </c>
      <c r="O292" s="3">
        <f>IF($A292="","",$I292-$N292)</f>
        <v/>
      </c>
      <c r="P292" s="3">
        <f>IF($A292="","",IFERROR($O292/$I292,0))</f>
        <v/>
      </c>
      <c r="Q292" s="11" t="n"/>
      <c r="R292" s="11" t="n"/>
      <c r="S292" s="11" t="inlineStr">
        <is>
          <t>表示</t>
        </is>
      </c>
      <c r="T292" s="11" t="n"/>
      <c r="U292" s="11" t="n"/>
      <c r="V292" s="11" t="n"/>
      <c r="W292" s="11" t="n"/>
      <c r="X292" s="11" t="n"/>
      <c r="Y292" s="11" t="n"/>
      <c r="Z292" s="11" t="n"/>
    </row>
    <row r="293" ht="26.75" customHeight="1">
      <c r="A293" s="11" t="n">
        <v>292</v>
      </c>
      <c r="B293" s="11" t="n"/>
      <c r="C293" s="11" t="n"/>
      <c r="D293" s="11" t="n"/>
      <c r="E293" s="3" t="n"/>
      <c r="F293" s="11" t="n"/>
      <c r="G293" s="3" t="n"/>
      <c r="H293" s="3" t="n"/>
      <c r="I293" s="3">
        <f>IF($A293="","",IF($S293&lt;&gt;"表示",0,IF($H293&gt;0,$H293,IFERROR($E293*$G293,0))))</f>
        <v/>
      </c>
      <c r="J293" s="3" t="n"/>
      <c r="K293" s="11" t="n"/>
      <c r="L293" s="3" t="n"/>
      <c r="M293" s="3" t="n"/>
      <c r="N293" s="3">
        <f>IF($A293="","",IF($S293&lt;&gt;"表示",0,IF($M293&gt;0,$M293,IFERROR($J293*$L293,0))))</f>
        <v/>
      </c>
      <c r="O293" s="3">
        <f>IF($A293="","",$I293-$N293)</f>
        <v/>
      </c>
      <c r="P293" s="3">
        <f>IF($A293="","",IFERROR($O293/$I293,0))</f>
        <v/>
      </c>
      <c r="Q293" s="11" t="n"/>
      <c r="R293" s="11" t="n"/>
      <c r="S293" s="11" t="inlineStr">
        <is>
          <t>表示</t>
        </is>
      </c>
      <c r="T293" s="11" t="n"/>
      <c r="U293" s="11" t="n"/>
      <c r="V293" s="11" t="n"/>
      <c r="W293" s="11" t="n"/>
      <c r="X293" s="11" t="n"/>
      <c r="Y293" s="11" t="n"/>
      <c r="Z293" s="11" t="n"/>
    </row>
    <row r="294" ht="26.75" customHeight="1">
      <c r="A294" s="11" t="n">
        <v>293</v>
      </c>
      <c r="B294" s="11" t="n"/>
      <c r="C294" s="11" t="n"/>
      <c r="D294" s="11" t="n"/>
      <c r="E294" s="3" t="n"/>
      <c r="F294" s="11" t="n"/>
      <c r="G294" s="3" t="n"/>
      <c r="H294" s="3" t="n"/>
      <c r="I294" s="3">
        <f>IF($A294="","",IF($S294&lt;&gt;"表示",0,IF($H294&gt;0,$H294,IFERROR($E294*$G294,0))))</f>
        <v/>
      </c>
      <c r="J294" s="3" t="n"/>
      <c r="K294" s="11" t="n"/>
      <c r="L294" s="3" t="n"/>
      <c r="M294" s="3" t="n"/>
      <c r="N294" s="3">
        <f>IF($A294="","",IF($S294&lt;&gt;"表示",0,IF($M294&gt;0,$M294,IFERROR($J294*$L294,0))))</f>
        <v/>
      </c>
      <c r="O294" s="3">
        <f>IF($A294="","",$I294-$N294)</f>
        <v/>
      </c>
      <c r="P294" s="3">
        <f>IF($A294="","",IFERROR($O294/$I294,0))</f>
        <v/>
      </c>
      <c r="Q294" s="11" t="n"/>
      <c r="R294" s="11" t="n"/>
      <c r="S294" s="11" t="inlineStr">
        <is>
          <t>表示</t>
        </is>
      </c>
      <c r="T294" s="11" t="n"/>
      <c r="U294" s="11" t="n"/>
      <c r="V294" s="11" t="n"/>
      <c r="W294" s="11" t="n"/>
      <c r="X294" s="11" t="n"/>
      <c r="Y294" s="11" t="n"/>
      <c r="Z294" s="11" t="n"/>
    </row>
    <row r="295" ht="26.75" customHeight="1">
      <c r="A295" s="11" t="n">
        <v>294</v>
      </c>
      <c r="B295" s="11" t="n"/>
      <c r="C295" s="11" t="n"/>
      <c r="D295" s="11" t="n"/>
      <c r="E295" s="3" t="n"/>
      <c r="F295" s="11" t="n"/>
      <c r="G295" s="3" t="n"/>
      <c r="H295" s="3" t="n"/>
      <c r="I295" s="3">
        <f>IF($A295="","",IF($S295&lt;&gt;"表示",0,IF($H295&gt;0,$H295,IFERROR($E295*$G295,0))))</f>
        <v/>
      </c>
      <c r="J295" s="3" t="n"/>
      <c r="K295" s="11" t="n"/>
      <c r="L295" s="3" t="n"/>
      <c r="M295" s="3" t="n"/>
      <c r="N295" s="3">
        <f>IF($A295="","",IF($S295&lt;&gt;"表示",0,IF($M295&gt;0,$M295,IFERROR($J295*$L295,0))))</f>
        <v/>
      </c>
      <c r="O295" s="3">
        <f>IF($A295="","",$I295-$N295)</f>
        <v/>
      </c>
      <c r="P295" s="3">
        <f>IF($A295="","",IFERROR($O295/$I295,0))</f>
        <v/>
      </c>
      <c r="Q295" s="11" t="n"/>
      <c r="R295" s="11" t="n"/>
      <c r="S295" s="11" t="inlineStr">
        <is>
          <t>表示</t>
        </is>
      </c>
      <c r="T295" s="11" t="n"/>
      <c r="U295" s="11" t="n"/>
      <c r="V295" s="11" t="n"/>
      <c r="W295" s="11" t="n"/>
      <c r="X295" s="11" t="n"/>
      <c r="Y295" s="11" t="n"/>
      <c r="Z295" s="11" t="n"/>
    </row>
    <row r="296" ht="26.75" customHeight="1">
      <c r="A296" s="11" t="n">
        <v>295</v>
      </c>
      <c r="B296" s="11" t="n"/>
      <c r="C296" s="11" t="n"/>
      <c r="D296" s="11" t="n"/>
      <c r="E296" s="3" t="n"/>
      <c r="F296" s="11" t="n"/>
      <c r="G296" s="3" t="n"/>
      <c r="H296" s="3" t="n"/>
      <c r="I296" s="3">
        <f>IF($A296="","",IF($S296&lt;&gt;"表示",0,IF($H296&gt;0,$H296,IFERROR($E296*$G296,0))))</f>
        <v/>
      </c>
      <c r="J296" s="3" t="n"/>
      <c r="K296" s="11" t="n"/>
      <c r="L296" s="3" t="n"/>
      <c r="M296" s="3" t="n"/>
      <c r="N296" s="3">
        <f>IF($A296="","",IF($S296&lt;&gt;"表示",0,IF($M296&gt;0,$M296,IFERROR($J296*$L296,0))))</f>
        <v/>
      </c>
      <c r="O296" s="3">
        <f>IF($A296="","",$I296-$N296)</f>
        <v/>
      </c>
      <c r="P296" s="3">
        <f>IF($A296="","",IFERROR($O296/$I296,0))</f>
        <v/>
      </c>
      <c r="Q296" s="11" t="n"/>
      <c r="R296" s="11" t="n"/>
      <c r="S296" s="11" t="inlineStr">
        <is>
          <t>表示</t>
        </is>
      </c>
      <c r="T296" s="11" t="n"/>
      <c r="U296" s="11" t="n"/>
      <c r="V296" s="11" t="n"/>
      <c r="W296" s="11" t="n"/>
      <c r="X296" s="11" t="n"/>
      <c r="Y296" s="11" t="n"/>
      <c r="Z296" s="11" t="n"/>
    </row>
    <row r="297" ht="26.75" customHeight="1">
      <c r="A297" s="11" t="n">
        <v>296</v>
      </c>
      <c r="B297" s="11" t="n"/>
      <c r="C297" s="11" t="n"/>
      <c r="D297" s="11" t="n"/>
      <c r="E297" s="3" t="n"/>
      <c r="F297" s="11" t="n"/>
      <c r="G297" s="3" t="n"/>
      <c r="H297" s="3" t="n"/>
      <c r="I297" s="3">
        <f>IF($A297="","",IF($S297&lt;&gt;"表示",0,IF($H297&gt;0,$H297,IFERROR($E297*$G297,0))))</f>
        <v/>
      </c>
      <c r="J297" s="3" t="n"/>
      <c r="K297" s="11" t="n"/>
      <c r="L297" s="3" t="n"/>
      <c r="M297" s="3" t="n"/>
      <c r="N297" s="3">
        <f>IF($A297="","",IF($S297&lt;&gt;"表示",0,IF($M297&gt;0,$M297,IFERROR($J297*$L297,0))))</f>
        <v/>
      </c>
      <c r="O297" s="3">
        <f>IF($A297="","",$I297-$N297)</f>
        <v/>
      </c>
      <c r="P297" s="3">
        <f>IF($A297="","",IFERROR($O297/$I297,0))</f>
        <v/>
      </c>
      <c r="Q297" s="11" t="n"/>
      <c r="R297" s="11" t="n"/>
      <c r="S297" s="11" t="inlineStr">
        <is>
          <t>表示</t>
        </is>
      </c>
      <c r="T297" s="11" t="n"/>
      <c r="U297" s="11" t="n"/>
      <c r="V297" s="11" t="n"/>
      <c r="W297" s="11" t="n"/>
      <c r="X297" s="11" t="n"/>
      <c r="Y297" s="11" t="n"/>
      <c r="Z297" s="11" t="n"/>
    </row>
    <row r="298" ht="26.75" customHeight="1">
      <c r="A298" s="11" t="n">
        <v>297</v>
      </c>
      <c r="B298" s="11" t="n"/>
      <c r="C298" s="11" t="n"/>
      <c r="D298" s="11" t="n"/>
      <c r="E298" s="3" t="n"/>
      <c r="F298" s="11" t="n"/>
      <c r="G298" s="3" t="n"/>
      <c r="H298" s="3" t="n"/>
      <c r="I298" s="3">
        <f>IF($A298="","",IF($S298&lt;&gt;"表示",0,IF($H298&gt;0,$H298,IFERROR($E298*$G298,0))))</f>
        <v/>
      </c>
      <c r="J298" s="3" t="n"/>
      <c r="K298" s="11" t="n"/>
      <c r="L298" s="3" t="n"/>
      <c r="M298" s="3" t="n"/>
      <c r="N298" s="3">
        <f>IF($A298="","",IF($S298&lt;&gt;"表示",0,IF($M298&gt;0,$M298,IFERROR($J298*$L298,0))))</f>
        <v/>
      </c>
      <c r="O298" s="3">
        <f>IF($A298="","",$I298-$N298)</f>
        <v/>
      </c>
      <c r="P298" s="3">
        <f>IF($A298="","",IFERROR($O298/$I298,0))</f>
        <v/>
      </c>
      <c r="Q298" s="11" t="n"/>
      <c r="R298" s="11" t="n"/>
      <c r="S298" s="11" t="inlineStr">
        <is>
          <t>表示</t>
        </is>
      </c>
      <c r="T298" s="11" t="n"/>
      <c r="U298" s="11" t="n"/>
      <c r="V298" s="11" t="n"/>
      <c r="W298" s="11" t="n"/>
      <c r="X298" s="11" t="n"/>
      <c r="Y298" s="11" t="n"/>
      <c r="Z298" s="11" t="n"/>
    </row>
    <row r="299" ht="26.75" customHeight="1">
      <c r="A299" s="11" t="n">
        <v>298</v>
      </c>
      <c r="B299" s="11" t="n"/>
      <c r="C299" s="11" t="n"/>
      <c r="D299" s="11" t="n"/>
      <c r="E299" s="3" t="n"/>
      <c r="F299" s="11" t="n"/>
      <c r="G299" s="3" t="n"/>
      <c r="H299" s="3" t="n"/>
      <c r="I299" s="3">
        <f>IF($A299="","",IF($S299&lt;&gt;"表示",0,IF($H299&gt;0,$H299,IFERROR($E299*$G299,0))))</f>
        <v/>
      </c>
      <c r="J299" s="3" t="n"/>
      <c r="K299" s="11" t="n"/>
      <c r="L299" s="3" t="n"/>
      <c r="M299" s="3" t="n"/>
      <c r="N299" s="3">
        <f>IF($A299="","",IF($S299&lt;&gt;"表示",0,IF($M299&gt;0,$M299,IFERROR($J299*$L299,0))))</f>
        <v/>
      </c>
      <c r="O299" s="3">
        <f>IF($A299="","",$I299-$N299)</f>
        <v/>
      </c>
      <c r="P299" s="3">
        <f>IF($A299="","",IFERROR($O299/$I299,0))</f>
        <v/>
      </c>
      <c r="Q299" s="11" t="n"/>
      <c r="R299" s="11" t="n"/>
      <c r="S299" s="11" t="inlineStr">
        <is>
          <t>表示</t>
        </is>
      </c>
      <c r="T299" s="11" t="n"/>
      <c r="U299" s="11" t="n"/>
      <c r="V299" s="11" t="n"/>
      <c r="W299" s="11" t="n"/>
      <c r="X299" s="11" t="n"/>
      <c r="Y299" s="11" t="n"/>
      <c r="Z299" s="11" t="n"/>
    </row>
    <row r="300" ht="26.75" customHeight="1">
      <c r="A300" s="11" t="n">
        <v>299</v>
      </c>
      <c r="B300" s="11" t="n"/>
      <c r="C300" s="11" t="n"/>
      <c r="D300" s="11" t="n"/>
      <c r="E300" s="3" t="n"/>
      <c r="F300" s="11" t="n"/>
      <c r="G300" s="3" t="n"/>
      <c r="H300" s="3" t="n"/>
      <c r="I300" s="3">
        <f>IF($A300="","",IF($S300&lt;&gt;"表示",0,IF($H300&gt;0,$H300,IFERROR($E300*$G300,0))))</f>
        <v/>
      </c>
      <c r="J300" s="3" t="n"/>
      <c r="K300" s="11" t="n"/>
      <c r="L300" s="3" t="n"/>
      <c r="M300" s="3" t="n"/>
      <c r="N300" s="3">
        <f>IF($A300="","",IF($S300&lt;&gt;"表示",0,IF($M300&gt;0,$M300,IFERROR($J300*$L300,0))))</f>
        <v/>
      </c>
      <c r="O300" s="3">
        <f>IF($A300="","",$I300-$N300)</f>
        <v/>
      </c>
      <c r="P300" s="3">
        <f>IF($A300="","",IFERROR($O300/$I300,0))</f>
        <v/>
      </c>
      <c r="Q300" s="11" t="n"/>
      <c r="R300" s="11" t="n"/>
      <c r="S300" s="11" t="inlineStr">
        <is>
          <t>表示</t>
        </is>
      </c>
      <c r="T300" s="11" t="n"/>
      <c r="U300" s="11" t="n"/>
      <c r="V300" s="11" t="n"/>
      <c r="W300" s="11" t="n"/>
      <c r="X300" s="11" t="n"/>
      <c r="Y300" s="11" t="n"/>
      <c r="Z300" s="11" t="n"/>
    </row>
    <row r="301" ht="15" customHeight="1">
      <c r="A301" s="11" t="n">
        <v>300</v>
      </c>
      <c r="B301" s="11" t="n"/>
      <c r="C301" s="11" t="n"/>
      <c r="D301" s="11" t="n"/>
      <c r="E301" s="3" t="n"/>
      <c r="F301" s="11" t="n"/>
      <c r="G301" s="3" t="n"/>
      <c r="H301" s="3" t="n"/>
      <c r="I301" s="3">
        <f>IF($A301="","",IF($S301&lt;&gt;"表示",0,IF($H301&gt;0,$H301,IFERROR($E301*$G301,0))))</f>
        <v/>
      </c>
      <c r="J301" s="3" t="n"/>
      <c r="K301" s="11" t="n"/>
      <c r="L301" s="3" t="n"/>
      <c r="M301" s="3" t="n"/>
      <c r="N301" s="3">
        <f>IF($A301="","",IF($S301&lt;&gt;"表示",0,IF($M301&gt;0,$M301,IFERROR($J301*$L301,0))))</f>
        <v/>
      </c>
      <c r="O301" s="3">
        <f>IF($A301="","",$I301-$N301)</f>
        <v/>
      </c>
      <c r="P301" s="3">
        <f>IF($A301="","",IFERROR($O301/$I301,0))</f>
        <v/>
      </c>
      <c r="Q301" s="11" t="n"/>
      <c r="R301" s="11" t="n"/>
      <c r="S301" s="11" t="inlineStr">
        <is>
          <t>表示</t>
        </is>
      </c>
      <c r="T301" s="11" t="n"/>
      <c r="U301" s="11" t="n"/>
      <c r="V301" s="11" t="n"/>
      <c r="W301" s="11" t="n"/>
      <c r="X301" s="11" t="n"/>
      <c r="Y301" s="11" t="n"/>
      <c r="Z301" s="11" t="n"/>
    </row>
  </sheetData>
  <conditionalFormatting sqref="S2:S301">
    <cfRule type="expression" priority="2" dxfId="12">
      <formula>$S2="非表示"</formula>
    </cfRule>
  </conditionalFormatting>
  <dataValidations count="2">
    <dataValidation sqref="C2:C301" showDropDown="0" showInputMessage="0" showErrorMessage="0" allowBlank="0" type="list">
      <formula1>"材料,施工,残材・現場経費,諸経費,値引き,その他"</formula1>
    </dataValidation>
    <dataValidation sqref="S2:S301" showDropDown="0" showInputMessage="0" showErrorMessage="0" allowBlank="0" type="list">
      <formula1>"表示,非表示"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1"/>
  <sheetViews>
    <sheetView workbookViewId="0">
      <selection activeCell="A1" sqref="A1"/>
    </sheetView>
  </sheetViews>
  <sheetFormatPr baseColWidth="10" defaultColWidth="8.83203125" defaultRowHeight="14"/>
  <cols>
    <col width="30" customWidth="1" min="1" max="1"/>
    <col width="14" customWidth="1" min="2" max="2"/>
    <col width="12" customWidth="1" min="3" max="3"/>
    <col width="14" customWidth="1" min="4" max="4"/>
    <col width="18" customWidth="1" min="5" max="5"/>
    <col width="10" customWidth="1" min="6" max="6"/>
    <col width="18" customWidth="1" min="7" max="7"/>
  </cols>
  <sheetData>
    <row r="1" ht="38.25" customHeight="1">
      <c r="A1" s="12" t="inlineStr">
        <is>
          <t>御見積書</t>
        </is>
      </c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</row>
    <row r="2" ht="26.75" customHeight="1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</row>
    <row r="3" ht="26.75" customHeight="1">
      <c r="A3" s="11" t="n"/>
      <c r="B3" s="13" t="n"/>
      <c r="D3" s="11" t="inlineStr">
        <is>
          <t>様</t>
        </is>
      </c>
      <c r="E3" s="11" t="n"/>
      <c r="F3" s="11" t="inlineStr">
        <is>
          <t>作成日</t>
        </is>
      </c>
      <c r="G3" s="11">
        <f>'設定'!$B$2</f>
        <v/>
      </c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 ht="26.75" customHeight="1">
      <c r="A4" s="4" t="inlineStr">
        <is>
          <t>工事名</t>
        </is>
      </c>
      <c r="B4" s="13" t="inlineStr">
        <is>
          <t>リフォーム工事一式</t>
        </is>
      </c>
      <c r="D4" s="11" t="n"/>
      <c r="E4" s="11" t="n"/>
      <c r="F4" s="11" t="inlineStr">
        <is>
          <t>会社名</t>
        </is>
      </c>
      <c r="G4" s="11">
        <f>'設定'!$B$6</f>
        <v/>
      </c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</row>
    <row r="5" ht="26.75" customHeight="1">
      <c r="A5" s="11" t="n"/>
      <c r="B5" s="11" t="n"/>
      <c r="C5" s="11" t="n"/>
      <c r="D5" s="11" t="n"/>
      <c r="E5" s="11" t="n"/>
      <c r="F5" s="11" t="inlineStr">
        <is>
          <t>代表</t>
        </is>
      </c>
      <c r="G5" s="11">
        <f>'設定'!$B$7</f>
        <v/>
      </c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 ht="26.75" customHeight="1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 ht="26.75" customHeight="1">
      <c r="A7" s="1" t="inlineStr">
        <is>
          <t>工区・部屋</t>
        </is>
      </c>
      <c r="B7" s="1" t="inlineStr">
        <is>
          <t>小計（税抜）</t>
        </is>
      </c>
      <c r="C7" s="1" t="inlineStr">
        <is>
          <t>消費税</t>
        </is>
      </c>
      <c r="D7" s="1" t="inlineStr">
        <is>
          <t>税込金額</t>
        </is>
      </c>
      <c r="E7" s="1" t="inlineStr">
        <is>
          <t>備考</t>
        </is>
      </c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 ht="26.75" customHeight="1">
      <c r="A8" s="11" t="inlineStr">
        <is>
          <t>玄関ホール、廊下、階段室吹抜</t>
        </is>
      </c>
      <c r="B8" s="3">
        <f>SUMIFS('入力シート'!$I$2:$I$301,'入力シート'!$B$2:$B$301,$A8,'入力シート'!$S$2:$S$301,"表示")</f>
        <v/>
      </c>
      <c r="C8" s="3">
        <f>ROUNDDOWN(B8*'設定'!$B$3,0)</f>
        <v/>
      </c>
      <c r="D8" s="3">
        <f>B8+C8</f>
        <v/>
      </c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 ht="26.75" customHeight="1">
      <c r="A9" s="11" t="inlineStr">
        <is>
          <t>LDK</t>
        </is>
      </c>
      <c r="B9" s="3">
        <f>SUMIFS('入力シート'!$I$2:$I$301,'入力シート'!$B$2:$B$301,$A9,'入力シート'!$S$2:$S$301,"表示")</f>
        <v/>
      </c>
      <c r="C9" s="3">
        <f>ROUNDDOWN(B9*'設定'!$B$3,0)</f>
        <v/>
      </c>
      <c r="D9" s="3">
        <f>B9+C9</f>
        <v/>
      </c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 ht="26.75" customHeight="1">
      <c r="A10" s="11" t="inlineStr">
        <is>
          <t>浴室</t>
        </is>
      </c>
      <c r="B10" s="3">
        <f>SUMIFS('入力シート'!$I$2:$I$301,'入力シート'!$B$2:$B$301,$A10,'入力シート'!$S$2:$S$301,"表示")</f>
        <v/>
      </c>
      <c r="C10" s="3">
        <f>ROUNDDOWN(B10*'設定'!$B$3,0)</f>
        <v/>
      </c>
      <c r="D10" s="3">
        <f>B10+C10</f>
        <v/>
      </c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 ht="26.75" customHeight="1">
      <c r="A11" s="11" t="inlineStr">
        <is>
          <t>洗面所</t>
        </is>
      </c>
      <c r="B11" s="3">
        <f>SUMIFS('入力シート'!$I$2:$I$301,'入力シート'!$B$2:$B$301,$A11,'入力シート'!$S$2:$S$301,"表示")</f>
        <v/>
      </c>
      <c r="C11" s="3">
        <f>ROUNDDOWN(B11*'設定'!$B$3,0)</f>
        <v/>
      </c>
      <c r="D11" s="3">
        <f>B11+C11</f>
        <v/>
      </c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ht="26.75" customHeight="1">
      <c r="A12" s="11" t="inlineStr">
        <is>
          <t>トイレ</t>
        </is>
      </c>
      <c r="B12" s="3">
        <f>SUMIFS('入力シート'!$I$2:$I$301,'入力シート'!$B$2:$B$301,$A12,'入力シート'!$S$2:$S$301,"表示")</f>
        <v/>
      </c>
      <c r="C12" s="3">
        <f>ROUNDDOWN(B12*'設定'!$B$3,0)</f>
        <v/>
      </c>
      <c r="D12" s="3">
        <f>B12+C12</f>
        <v/>
      </c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 ht="26.75" customHeight="1">
      <c r="A13" s="11" t="inlineStr">
        <is>
          <t>1F　和室6帖</t>
        </is>
      </c>
      <c r="B13" s="3">
        <f>SUMIFS('入力シート'!$I$2:$I$301,'入力シート'!$B$2:$B$301,$A13,'入力シート'!$S$2:$S$301,"表示")</f>
        <v/>
      </c>
      <c r="C13" s="3">
        <f>ROUNDDOWN(B13*'設定'!$B$3,0)</f>
        <v/>
      </c>
      <c r="D13" s="3">
        <f>B13+C13</f>
        <v/>
      </c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</row>
    <row r="14" ht="26.75" customHeight="1">
      <c r="A14" s="11" t="inlineStr">
        <is>
          <t>2F　和室　4.5帖</t>
        </is>
      </c>
      <c r="B14" s="3">
        <f>SUMIFS('入力シート'!$I$2:$I$301,'入力シート'!$B$2:$B$301,$A14,'入力シート'!$S$2:$S$301,"表示")</f>
        <v/>
      </c>
      <c r="C14" s="3">
        <f>ROUNDDOWN(B14*'設定'!$B$3,0)</f>
        <v/>
      </c>
      <c r="D14" s="3">
        <f>B14+C14</f>
        <v/>
      </c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 ht="26.75" customHeight="1">
      <c r="A15" s="11" t="inlineStr">
        <is>
          <t>2F　洋間8帖　A</t>
        </is>
      </c>
      <c r="B15" s="3">
        <f>SUMIFS('入力シート'!$I$2:$I$301,'入力シート'!$B$2:$B$301,$A15,'入力シート'!$S$2:$S$301,"表示")</f>
        <v/>
      </c>
      <c r="C15" s="3">
        <f>ROUNDDOWN(B15*'設定'!$B$3,0)</f>
        <v/>
      </c>
      <c r="D15" s="3">
        <f>B15+C15</f>
        <v/>
      </c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</row>
    <row r="16" ht="26.75" customHeight="1">
      <c r="A16" s="11" t="inlineStr">
        <is>
          <t>2F　洋間6帖　B</t>
        </is>
      </c>
      <c r="B16" s="3">
        <f>SUMIFS('入力シート'!$I$2:$I$301,'入力シート'!$B$2:$B$301,$A16,'入力シート'!$S$2:$S$301,"表示")</f>
        <v/>
      </c>
      <c r="C16" s="3">
        <f>ROUNDDOWN(B16*'設定'!$B$3,0)</f>
        <v/>
      </c>
      <c r="D16" s="3">
        <f>B16+C16</f>
        <v/>
      </c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 ht="26.75" customHeight="1">
      <c r="A17" s="11" t="inlineStr">
        <is>
          <t>2F　廊下</t>
        </is>
      </c>
      <c r="B17" s="3">
        <f>SUMIFS('入力シート'!$I$2:$I$301,'入力シート'!$B$2:$B$301,$A17,'入力シート'!$S$2:$S$301,"表示")</f>
        <v/>
      </c>
      <c r="C17" s="3">
        <f>ROUNDDOWN(B17*'設定'!$B$3,0)</f>
        <v/>
      </c>
      <c r="D17" s="3">
        <f>B17+C17</f>
        <v/>
      </c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 ht="26.75" customHeight="1">
      <c r="A18" s="11" t="inlineStr">
        <is>
          <t>屋根</t>
        </is>
      </c>
      <c r="B18" s="3">
        <f>SUMIFS('入力シート'!$I$2:$I$301,'入力シート'!$B$2:$B$301,$A18,'入力シート'!$S$2:$S$301,"表示")</f>
        <v/>
      </c>
      <c r="C18" s="3">
        <f>ROUNDDOWN(B18*'設定'!$B$3,0)</f>
        <v/>
      </c>
      <c r="D18" s="3">
        <f>B18+C18</f>
        <v/>
      </c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 ht="26.75" customHeight="1">
      <c r="A19" s="11" t="inlineStr">
        <is>
          <t>外壁</t>
        </is>
      </c>
      <c r="B19" s="3">
        <f>SUMIFS('入力シート'!$I$2:$I$301,'入力シート'!$B$2:$B$301,$A19,'入力シート'!$S$2:$S$301,"表示")</f>
        <v/>
      </c>
      <c r="C19" s="3">
        <f>ROUNDDOWN(B19*'設定'!$B$3,0)</f>
        <v/>
      </c>
      <c r="D19" s="3">
        <f>B19+C19</f>
        <v/>
      </c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</row>
    <row r="20" ht="26.75" customHeight="1">
      <c r="A20" s="19" t="inlineStr">
        <is>
          <t>未分類（下記一覧にない工区）</t>
        </is>
      </c>
      <c r="B20" s="20">
        <f>SUMIFS('入力シート'!$I$2:$I$301,'入力シート'!$S$2:$S$301,"表示")-SUM(B8:B19)</f>
        <v/>
      </c>
      <c r="C20" s="20">
        <f>ROUNDDOWN(B20*'設定'!$B$3,0)</f>
        <v/>
      </c>
      <c r="D20" s="20">
        <f>B20+C20</f>
        <v/>
      </c>
      <c r="E20" s="7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26.75" customHeight="1">
      <c r="A21" s="19" t="inlineStr">
        <is>
          <t>値引き（税抜・マイナスで入力）</t>
        </is>
      </c>
      <c r="B21" s="21" t="n">
        <v>0</v>
      </c>
      <c r="C21" s="20">
        <f>-ROUNDDOWN(-B21*'設定'!$B$3,0)</f>
        <v/>
      </c>
      <c r="D21" s="20">
        <f>B21+C21</f>
        <v/>
      </c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ht="26.75" customHeight="1">
      <c r="A22" s="19" t="inlineStr">
        <is>
          <t>合計</t>
        </is>
      </c>
      <c r="B22" s="20">
        <f>SUM(B8:B21)</f>
        <v/>
      </c>
      <c r="C22" s="20">
        <f>SUM(C8:C21)</f>
        <v/>
      </c>
      <c r="D22" s="22">
        <f>SUM(D8:D21)</f>
        <v/>
      </c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 ht="26.75" customHeight="1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</row>
    <row r="24" ht="26.75" customHeight="1">
      <c r="A24" s="23" t="inlineStr">
        <is>
          <t>お支払条件</t>
        </is>
      </c>
      <c r="B24" s="11">
        <f>'設定'!$B$10</f>
        <v/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 ht="26.75" customHeight="1">
      <c r="A25" s="23" t="inlineStr">
        <is>
          <t>見積有効期限</t>
        </is>
      </c>
      <c r="B25" s="16">
        <f>'設定'!$B$2+'設定'!$B$9</f>
        <v/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 ht="26.75" customHeight="1">
      <c r="A26" s="23" t="inlineStr">
        <is>
          <t>振込先</t>
        </is>
      </c>
      <c r="B26" s="11">
        <f>'設定'!$B$11</f>
        <v/>
      </c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 ht="26.75" customHeight="1">
      <c r="A27" s="23" t="inlineStr">
        <is>
          <t>特記事項</t>
        </is>
      </c>
      <c r="B27" s="11">
        <f>'設定'!$B$12</f>
        <v/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</row>
    <row r="28" ht="26.75" customHeight="1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 ht="26.75" customHeight="1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</row>
    <row r="30" ht="26.75" customHeight="1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</row>
    <row r="31" ht="26.75" customHeight="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</row>
    <row r="32" ht="26.75" customHeight="1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</row>
    <row r="33" ht="26.75" customHeight="1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</row>
    <row r="34" ht="26.75" customHeight="1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ht="26.75" customHeight="1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</row>
    <row r="36" ht="26.75" customHeight="1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</row>
    <row r="37" ht="26.75" customHeight="1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</row>
    <row r="38" ht="26.75" customHeight="1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</row>
    <row r="39" ht="26.75" customHeight="1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</row>
    <row r="40" ht="26.75" customHeight="1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</row>
    <row r="256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</row>
    <row r="257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</row>
    <row r="300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</row>
    <row r="30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</row>
  </sheetData>
  <mergeCells count="3">
    <mergeCell ref="B3:C3"/>
    <mergeCell ref="B4:C4"/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01"/>
  <sheetViews>
    <sheetView workbookViewId="0">
      <selection activeCell="A1" sqref="A1"/>
    </sheetView>
  </sheetViews>
  <sheetFormatPr baseColWidth="10" defaultColWidth="8.83203125" defaultRowHeight="14"/>
  <cols>
    <col width="5" customWidth="1" min="1" max="1"/>
    <col width="26" customWidth="1" min="2" max="2"/>
    <col width="36" customWidth="1" min="3" max="3"/>
    <col width="8" customWidth="1" min="4" max="5"/>
    <col width="12" customWidth="1" min="6" max="6"/>
    <col width="14" customWidth="1" min="7" max="7"/>
    <col width="36" customWidth="1" min="8" max="8"/>
  </cols>
  <sheetData>
    <row r="1" ht="26.75" customHeight="1">
      <c r="A1" s="1" t="inlineStr">
        <is>
          <t>No</t>
        </is>
      </c>
      <c r="B1" s="1" t="inlineStr">
        <is>
          <t>部屋・工区</t>
        </is>
      </c>
      <c r="C1" s="1" t="inlineStr">
        <is>
          <t>工事項目</t>
        </is>
      </c>
      <c r="D1" s="1" t="inlineStr">
        <is>
          <t>数量</t>
        </is>
      </c>
      <c r="E1" s="1" t="inlineStr">
        <is>
          <t>単位</t>
        </is>
      </c>
      <c r="F1" s="1" t="inlineStr">
        <is>
          <t>単価</t>
        </is>
      </c>
      <c r="G1" s="1" t="inlineStr">
        <is>
          <t>金額</t>
        </is>
      </c>
      <c r="H1" s="1" t="inlineStr">
        <is>
          <t>備考</t>
        </is>
      </c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</row>
    <row r="2" ht="26.75" customHeight="1">
      <c r="A2" s="11">
        <f>IFERROR(IF('入力シート'!$S2="表示",'入力シート'!A2,""),"")</f>
        <v/>
      </c>
      <c r="B2" s="11">
        <f>IFERROR(IF('入力シート'!$S2="表示",'入力シート'!B2,""),"")</f>
        <v/>
      </c>
      <c r="C2" s="11">
        <f>IFERROR(IF('入力シート'!$S2="表示",'入力シート'!D2,""),"")</f>
        <v/>
      </c>
      <c r="D2" s="3">
        <f>IFERROR(IF('入力シート'!$S2="表示",'入力シート'!E2,""),"")</f>
        <v/>
      </c>
      <c r="E2" s="11">
        <f>IFERROR(IF('入力シート'!$S2="表示",'入力シート'!F2,""),"")</f>
        <v/>
      </c>
      <c r="F2" s="3">
        <f>IFERROR(IF('入力シート'!$S2="表示",'入力シート'!G2,""),"")</f>
        <v/>
      </c>
      <c r="G2" s="3">
        <f>IFERROR(IF('入力シート'!$S2="表示",'入力シート'!I2,""),"")</f>
        <v/>
      </c>
      <c r="H2" s="11">
        <f>IFERROR(IF('入力シート'!$S2="表示",'入力シート'!R2,""),"")</f>
        <v/>
      </c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</row>
    <row r="3" ht="26.75" customHeight="1">
      <c r="A3" s="11">
        <f>IFERROR(IF('入力シート'!$S3="表示",'入力シート'!A3,""),"")</f>
        <v/>
      </c>
      <c r="B3" s="11">
        <f>IFERROR(IF('入力シート'!$S3="表示",'入力シート'!B3,""),"")</f>
        <v/>
      </c>
      <c r="C3" s="11">
        <f>IFERROR(IF('入力シート'!$S3="表示",'入力シート'!D3,""),"")</f>
        <v/>
      </c>
      <c r="D3" s="3">
        <f>IFERROR(IF('入力シート'!$S3="表示",'入力シート'!E3,""),"")</f>
        <v/>
      </c>
      <c r="E3" s="11">
        <f>IFERROR(IF('入力シート'!$S3="表示",'入力シート'!F3,""),"")</f>
        <v/>
      </c>
      <c r="F3" s="3">
        <f>IFERROR(IF('入力シート'!$S3="表示",'入力シート'!G3,""),"")</f>
        <v/>
      </c>
      <c r="G3" s="3">
        <f>IFERROR(IF('入力シート'!$S3="表示",'入力シート'!I3,""),"")</f>
        <v/>
      </c>
      <c r="H3" s="11">
        <f>IFERROR(IF('入力シート'!$S3="表示",'入力シート'!R3,""),"")</f>
        <v/>
      </c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 ht="26.75" customHeight="1">
      <c r="A4" s="11">
        <f>IFERROR(IF('入力シート'!$S4="表示",'入力シート'!A4,""),"")</f>
        <v/>
      </c>
      <c r="B4" s="11">
        <f>IFERROR(IF('入力シート'!$S4="表示",'入力シート'!B4,""),"")</f>
        <v/>
      </c>
      <c r="C4" s="11">
        <f>IFERROR(IF('入力シート'!$S4="表示",'入力シート'!D4,""),"")</f>
        <v/>
      </c>
      <c r="D4" s="3">
        <f>IFERROR(IF('入力シート'!$S4="表示",'入力シート'!E4,""),"")</f>
        <v/>
      </c>
      <c r="E4" s="11">
        <f>IFERROR(IF('入力シート'!$S4="表示",'入力シート'!F4,""),"")</f>
        <v/>
      </c>
      <c r="F4" s="3">
        <f>IFERROR(IF('入力シート'!$S4="表示",'入力シート'!G4,""),"")</f>
        <v/>
      </c>
      <c r="G4" s="3">
        <f>IFERROR(IF('入力シート'!$S4="表示",'入力シート'!I4,""),"")</f>
        <v/>
      </c>
      <c r="H4" s="11">
        <f>IFERROR(IF('入力シート'!$S4="表示",'入力シート'!R4,""),"")</f>
        <v/>
      </c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</row>
    <row r="5" ht="26.75" customHeight="1">
      <c r="A5" s="11">
        <f>IFERROR(IF('入力シート'!$S5="表示",'入力シート'!A5,""),"")</f>
        <v/>
      </c>
      <c r="B5" s="11">
        <f>IFERROR(IF('入力シート'!$S5="表示",'入力シート'!B5,""),"")</f>
        <v/>
      </c>
      <c r="C5" s="11">
        <f>IFERROR(IF('入力シート'!$S5="表示",'入力シート'!D5,""),"")</f>
        <v/>
      </c>
      <c r="D5" s="3">
        <f>IFERROR(IF('入力シート'!$S5="表示",'入力シート'!E5,""),"")</f>
        <v/>
      </c>
      <c r="E5" s="11">
        <f>IFERROR(IF('入力シート'!$S5="表示",'入力シート'!F5,""),"")</f>
        <v/>
      </c>
      <c r="F5" s="3">
        <f>IFERROR(IF('入力シート'!$S5="表示",'入力シート'!G5,""),"")</f>
        <v/>
      </c>
      <c r="G5" s="3">
        <f>IFERROR(IF('入力シート'!$S5="表示",'入力シート'!I5,""),"")</f>
        <v/>
      </c>
      <c r="H5" s="11">
        <f>IFERROR(IF('入力シート'!$S5="表示",'入力シート'!R5,""),"")</f>
        <v/>
      </c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 ht="26.75" customHeight="1">
      <c r="A6" s="11">
        <f>IFERROR(IF('入力シート'!$S6="表示",'入力シート'!A6,""),"")</f>
        <v/>
      </c>
      <c r="B6" s="11">
        <f>IFERROR(IF('入力シート'!$S6="表示",'入力シート'!B6,""),"")</f>
        <v/>
      </c>
      <c r="C6" s="11">
        <f>IFERROR(IF('入力シート'!$S6="表示",'入力シート'!D6,""),"")</f>
        <v/>
      </c>
      <c r="D6" s="3">
        <f>IFERROR(IF('入力シート'!$S6="表示",'入力シート'!E6,""),"")</f>
        <v/>
      </c>
      <c r="E6" s="11">
        <f>IFERROR(IF('入力シート'!$S6="表示",'入力シート'!F6,""),"")</f>
        <v/>
      </c>
      <c r="F6" s="3">
        <f>IFERROR(IF('入力シート'!$S6="表示",'入力シート'!G6,""),"")</f>
        <v/>
      </c>
      <c r="G6" s="3">
        <f>IFERROR(IF('入力シート'!$S6="表示",'入力シート'!I6,""),"")</f>
        <v/>
      </c>
      <c r="H6" s="11">
        <f>IFERROR(IF('入力シート'!$S6="表示",'入力シート'!R6,""),"")</f>
        <v/>
      </c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 ht="26.75" customHeight="1">
      <c r="A7" s="11">
        <f>IFERROR(IF('入力シート'!$S7="表示",'入力シート'!A7,""),"")</f>
        <v/>
      </c>
      <c r="B7" s="11">
        <f>IFERROR(IF('入力シート'!$S7="表示",'入力シート'!B7,""),"")</f>
        <v/>
      </c>
      <c r="C7" s="11">
        <f>IFERROR(IF('入力シート'!$S7="表示",'入力シート'!D7,""),"")</f>
        <v/>
      </c>
      <c r="D7" s="3">
        <f>IFERROR(IF('入力シート'!$S7="表示",'入力シート'!E7,""),"")</f>
        <v/>
      </c>
      <c r="E7" s="11">
        <f>IFERROR(IF('入力シート'!$S7="表示",'入力シート'!F7,""),"")</f>
        <v/>
      </c>
      <c r="F7" s="3">
        <f>IFERROR(IF('入力シート'!$S7="表示",'入力シート'!G7,""),"")</f>
        <v/>
      </c>
      <c r="G7" s="3">
        <f>IFERROR(IF('入力シート'!$S7="表示",'入力シート'!I7,""),"")</f>
        <v/>
      </c>
      <c r="H7" s="11">
        <f>IFERROR(IF('入力シート'!$S7="表示",'入力シート'!R7,""),"")</f>
        <v/>
      </c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 ht="26.75" customHeight="1">
      <c r="A8" s="11">
        <f>IFERROR(IF('入力シート'!$S8="表示",'入力シート'!A8,""),"")</f>
        <v/>
      </c>
      <c r="B8" s="11">
        <f>IFERROR(IF('入力シート'!$S8="表示",'入力シート'!B8,""),"")</f>
        <v/>
      </c>
      <c r="C8" s="11">
        <f>IFERROR(IF('入力シート'!$S8="表示",'入力シート'!D8,""),"")</f>
        <v/>
      </c>
      <c r="D8" s="3">
        <f>IFERROR(IF('入力シート'!$S8="表示",'入力シート'!E8,""),"")</f>
        <v/>
      </c>
      <c r="E8" s="11">
        <f>IFERROR(IF('入力シート'!$S8="表示",'入力シート'!F8,""),"")</f>
        <v/>
      </c>
      <c r="F8" s="3">
        <f>IFERROR(IF('入力シート'!$S8="表示",'入力シート'!G8,""),"")</f>
        <v/>
      </c>
      <c r="G8" s="3">
        <f>IFERROR(IF('入力シート'!$S8="表示",'入力シート'!I8,""),"")</f>
        <v/>
      </c>
      <c r="H8" s="11">
        <f>IFERROR(IF('入力シート'!$S8="表示",'入力シート'!R8,""),"")</f>
        <v/>
      </c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 ht="26.75" customHeight="1">
      <c r="A9" s="11">
        <f>IFERROR(IF('入力シート'!$S9="表示",'入力シート'!A9,""),"")</f>
        <v/>
      </c>
      <c r="B9" s="11">
        <f>IFERROR(IF('入力シート'!$S9="表示",'入力シート'!B9,""),"")</f>
        <v/>
      </c>
      <c r="C9" s="11">
        <f>IFERROR(IF('入力シート'!$S9="表示",'入力シート'!D9,""),"")</f>
        <v/>
      </c>
      <c r="D9" s="3">
        <f>IFERROR(IF('入力シート'!$S9="表示",'入力シート'!E9,""),"")</f>
        <v/>
      </c>
      <c r="E9" s="11">
        <f>IFERROR(IF('入力シート'!$S9="表示",'入力シート'!F9,""),"")</f>
        <v/>
      </c>
      <c r="F9" s="3">
        <f>IFERROR(IF('入力シート'!$S9="表示",'入力シート'!G9,""),"")</f>
        <v/>
      </c>
      <c r="G9" s="3">
        <f>IFERROR(IF('入力シート'!$S9="表示",'入力シート'!I9,""),"")</f>
        <v/>
      </c>
      <c r="H9" s="11">
        <f>IFERROR(IF('入力シート'!$S9="表示",'入力シート'!R9,""),"")</f>
        <v/>
      </c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 ht="26.75" customHeight="1">
      <c r="A10" s="11">
        <f>IFERROR(IF('入力シート'!$S10="表示",'入力シート'!A10,""),"")</f>
        <v/>
      </c>
      <c r="B10" s="11">
        <f>IFERROR(IF('入力シート'!$S10="表示",'入力シート'!B10,""),"")</f>
        <v/>
      </c>
      <c r="C10" s="11">
        <f>IFERROR(IF('入力シート'!$S10="表示",'入力シート'!D10,""),"")</f>
        <v/>
      </c>
      <c r="D10" s="3">
        <f>IFERROR(IF('入力シート'!$S10="表示",'入力シート'!E10,""),"")</f>
        <v/>
      </c>
      <c r="E10" s="11">
        <f>IFERROR(IF('入力シート'!$S10="表示",'入力シート'!F10,""),"")</f>
        <v/>
      </c>
      <c r="F10" s="3">
        <f>IFERROR(IF('入力シート'!$S10="表示",'入力シート'!G10,""),"")</f>
        <v/>
      </c>
      <c r="G10" s="3">
        <f>IFERROR(IF('入力シート'!$S10="表示",'入力シート'!I10,""),"")</f>
        <v/>
      </c>
      <c r="H10" s="11">
        <f>IFERROR(IF('入力シート'!$S10="表示",'入力シート'!R10,""),"")</f>
        <v/>
      </c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 ht="26.75" customHeight="1">
      <c r="A11" s="11">
        <f>IFERROR(IF('入力シート'!$S11="表示",'入力シート'!A11,""),"")</f>
        <v/>
      </c>
      <c r="B11" s="11">
        <f>IFERROR(IF('入力シート'!$S11="表示",'入力シート'!B11,""),"")</f>
        <v/>
      </c>
      <c r="C11" s="11">
        <f>IFERROR(IF('入力シート'!$S11="表示",'入力シート'!D11,""),"")</f>
        <v/>
      </c>
      <c r="D11" s="3">
        <f>IFERROR(IF('入力シート'!$S11="表示",'入力シート'!E11,""),"")</f>
        <v/>
      </c>
      <c r="E11" s="11">
        <f>IFERROR(IF('入力シート'!$S11="表示",'入力シート'!F11,""),"")</f>
        <v/>
      </c>
      <c r="F11" s="3">
        <f>IFERROR(IF('入力シート'!$S11="表示",'入力シート'!G11,""),"")</f>
        <v/>
      </c>
      <c r="G11" s="3">
        <f>IFERROR(IF('入力シート'!$S11="表示",'入力シート'!I11,""),"")</f>
        <v/>
      </c>
      <c r="H11" s="11">
        <f>IFERROR(IF('入力シート'!$S11="表示",'入力シート'!R11,""),"")</f>
        <v/>
      </c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ht="26.75" customHeight="1">
      <c r="A12" s="11">
        <f>IFERROR(IF('入力シート'!$S12="表示",'入力シート'!A12,""),"")</f>
        <v/>
      </c>
      <c r="B12" s="11">
        <f>IFERROR(IF('入力シート'!$S12="表示",'入力シート'!B12,""),"")</f>
        <v/>
      </c>
      <c r="C12" s="11">
        <f>IFERROR(IF('入力シート'!$S12="表示",'入力シート'!D12,""),"")</f>
        <v/>
      </c>
      <c r="D12" s="3">
        <f>IFERROR(IF('入力シート'!$S12="表示",'入力シート'!E12,""),"")</f>
        <v/>
      </c>
      <c r="E12" s="11">
        <f>IFERROR(IF('入力シート'!$S12="表示",'入力シート'!F12,""),"")</f>
        <v/>
      </c>
      <c r="F12" s="3">
        <f>IFERROR(IF('入力シート'!$S12="表示",'入力シート'!G12,""),"")</f>
        <v/>
      </c>
      <c r="G12" s="3">
        <f>IFERROR(IF('入力シート'!$S12="表示",'入力シート'!I12,""),"")</f>
        <v/>
      </c>
      <c r="H12" s="11">
        <f>IFERROR(IF('入力シート'!$S12="表示",'入力シート'!R12,""),"")</f>
        <v/>
      </c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 ht="26.75" customHeight="1">
      <c r="A13" s="11">
        <f>IFERROR(IF('入力シート'!$S13="表示",'入力シート'!A13,""),"")</f>
        <v/>
      </c>
      <c r="B13" s="11">
        <f>IFERROR(IF('入力シート'!$S13="表示",'入力シート'!B13,""),"")</f>
        <v/>
      </c>
      <c r="C13" s="11">
        <f>IFERROR(IF('入力シート'!$S13="表示",'入力シート'!D13,""),"")</f>
        <v/>
      </c>
      <c r="D13" s="3">
        <f>IFERROR(IF('入力シート'!$S13="表示",'入力シート'!E13,""),"")</f>
        <v/>
      </c>
      <c r="E13" s="11">
        <f>IFERROR(IF('入力シート'!$S13="表示",'入力シート'!F13,""),"")</f>
        <v/>
      </c>
      <c r="F13" s="3">
        <f>IFERROR(IF('入力シート'!$S13="表示",'入力シート'!G13,""),"")</f>
        <v/>
      </c>
      <c r="G13" s="3">
        <f>IFERROR(IF('入力シート'!$S13="表示",'入力シート'!I13,""),"")</f>
        <v/>
      </c>
      <c r="H13" s="11">
        <f>IFERROR(IF('入力シート'!$S13="表示",'入力シート'!R13,""),"")</f>
        <v/>
      </c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</row>
    <row r="14" ht="26.75" customHeight="1">
      <c r="A14" s="11">
        <f>IFERROR(IF('入力シート'!$S14="表示",'入力シート'!A14,""),"")</f>
        <v/>
      </c>
      <c r="B14" s="11">
        <f>IFERROR(IF('入力シート'!$S14="表示",'入力シート'!B14,""),"")</f>
        <v/>
      </c>
      <c r="C14" s="11">
        <f>IFERROR(IF('入力シート'!$S14="表示",'入力シート'!D14,""),"")</f>
        <v/>
      </c>
      <c r="D14" s="3">
        <f>IFERROR(IF('入力シート'!$S14="表示",'入力シート'!E14,""),"")</f>
        <v/>
      </c>
      <c r="E14" s="11">
        <f>IFERROR(IF('入力シート'!$S14="表示",'入力シート'!F14,""),"")</f>
        <v/>
      </c>
      <c r="F14" s="3">
        <f>IFERROR(IF('入力シート'!$S14="表示",'入力シート'!G14,""),"")</f>
        <v/>
      </c>
      <c r="G14" s="3">
        <f>IFERROR(IF('入力シート'!$S14="表示",'入力シート'!I14,""),"")</f>
        <v/>
      </c>
      <c r="H14" s="11">
        <f>IFERROR(IF('入力シート'!$S14="表示",'入力シート'!R14,""),"")</f>
        <v/>
      </c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 ht="26.75" customHeight="1">
      <c r="A15" s="11">
        <f>IFERROR(IF('入力シート'!$S15="表示",'入力シート'!A15,""),"")</f>
        <v/>
      </c>
      <c r="B15" s="11">
        <f>IFERROR(IF('入力シート'!$S15="表示",'入力シート'!B15,""),"")</f>
        <v/>
      </c>
      <c r="C15" s="11">
        <f>IFERROR(IF('入力シート'!$S15="表示",'入力シート'!D15,""),"")</f>
        <v/>
      </c>
      <c r="D15" s="3">
        <f>IFERROR(IF('入力シート'!$S15="表示",'入力シート'!E15,""),"")</f>
        <v/>
      </c>
      <c r="E15" s="11">
        <f>IFERROR(IF('入力シート'!$S15="表示",'入力シート'!F15,""),"")</f>
        <v/>
      </c>
      <c r="F15" s="3">
        <f>IFERROR(IF('入力シート'!$S15="表示",'入力シート'!G15,""),"")</f>
        <v/>
      </c>
      <c r="G15" s="3">
        <f>IFERROR(IF('入力シート'!$S15="表示",'入力シート'!I15,""),"")</f>
        <v/>
      </c>
      <c r="H15" s="11">
        <f>IFERROR(IF('入力シート'!$S15="表示",'入力シート'!R15,""),"")</f>
        <v/>
      </c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</row>
    <row r="16" ht="26.75" customHeight="1">
      <c r="A16" s="11">
        <f>IFERROR(IF('入力シート'!$S16="表示",'入力シート'!A16,""),"")</f>
        <v/>
      </c>
      <c r="B16" s="11">
        <f>IFERROR(IF('入力シート'!$S16="表示",'入力シート'!B16,""),"")</f>
        <v/>
      </c>
      <c r="C16" s="11">
        <f>IFERROR(IF('入力シート'!$S16="表示",'入力シート'!D16,""),"")</f>
        <v/>
      </c>
      <c r="D16" s="3">
        <f>IFERROR(IF('入力シート'!$S16="表示",'入力シート'!E16,""),"")</f>
        <v/>
      </c>
      <c r="E16" s="11">
        <f>IFERROR(IF('入力シート'!$S16="表示",'入力シート'!F16,""),"")</f>
        <v/>
      </c>
      <c r="F16" s="3">
        <f>IFERROR(IF('入力シート'!$S16="表示",'入力シート'!G16,""),"")</f>
        <v/>
      </c>
      <c r="G16" s="3">
        <f>IFERROR(IF('入力シート'!$S16="表示",'入力シート'!I16,""),"")</f>
        <v/>
      </c>
      <c r="H16" s="11">
        <f>IFERROR(IF('入力シート'!$S16="表示",'入力シート'!R16,""),"")</f>
        <v/>
      </c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 ht="26.75" customHeight="1">
      <c r="A17" s="11">
        <f>IFERROR(IF('入力シート'!$S17="表示",'入力シート'!A17,""),"")</f>
        <v/>
      </c>
      <c r="B17" s="11">
        <f>IFERROR(IF('入力シート'!$S17="表示",'入力シート'!B17,""),"")</f>
        <v/>
      </c>
      <c r="C17" s="11">
        <f>IFERROR(IF('入力シート'!$S17="表示",'入力シート'!D17,""),"")</f>
        <v/>
      </c>
      <c r="D17" s="3">
        <f>IFERROR(IF('入力シート'!$S17="表示",'入力シート'!E17,""),"")</f>
        <v/>
      </c>
      <c r="E17" s="11">
        <f>IFERROR(IF('入力シート'!$S17="表示",'入力シート'!F17,""),"")</f>
        <v/>
      </c>
      <c r="F17" s="3">
        <f>IFERROR(IF('入力シート'!$S17="表示",'入力シート'!G17,""),"")</f>
        <v/>
      </c>
      <c r="G17" s="3">
        <f>IFERROR(IF('入力シート'!$S17="表示",'入力シート'!I17,""),"")</f>
        <v/>
      </c>
      <c r="H17" s="11">
        <f>IFERROR(IF('入力シート'!$S17="表示",'入力シート'!R17,""),"")</f>
        <v/>
      </c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 ht="26.75" customHeight="1">
      <c r="A18" s="11">
        <f>IFERROR(IF('入力シート'!$S18="表示",'入力シート'!A18,""),"")</f>
        <v/>
      </c>
      <c r="B18" s="11">
        <f>IFERROR(IF('入力シート'!$S18="表示",'入力シート'!B18,""),"")</f>
        <v/>
      </c>
      <c r="C18" s="11">
        <f>IFERROR(IF('入力シート'!$S18="表示",'入力シート'!D18,""),"")</f>
        <v/>
      </c>
      <c r="D18" s="3">
        <f>IFERROR(IF('入力シート'!$S18="表示",'入力シート'!E18,""),"")</f>
        <v/>
      </c>
      <c r="E18" s="11">
        <f>IFERROR(IF('入力シート'!$S18="表示",'入力シート'!F18,""),"")</f>
        <v/>
      </c>
      <c r="F18" s="3">
        <f>IFERROR(IF('入力シート'!$S18="表示",'入力シート'!G18,""),"")</f>
        <v/>
      </c>
      <c r="G18" s="3">
        <f>IFERROR(IF('入力シート'!$S18="表示",'入力シート'!I18,""),"")</f>
        <v/>
      </c>
      <c r="H18" s="11">
        <f>IFERROR(IF('入力シート'!$S18="表示",'入力シート'!R18,""),"")</f>
        <v/>
      </c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 ht="26.75" customHeight="1">
      <c r="A19" s="11">
        <f>IFERROR(IF('入力シート'!$S19="表示",'入力シート'!A19,""),"")</f>
        <v/>
      </c>
      <c r="B19" s="11">
        <f>IFERROR(IF('入力シート'!$S19="表示",'入力シート'!B19,""),"")</f>
        <v/>
      </c>
      <c r="C19" s="11">
        <f>IFERROR(IF('入力シート'!$S19="表示",'入力シート'!D19,""),"")</f>
        <v/>
      </c>
      <c r="D19" s="3">
        <f>IFERROR(IF('入力シート'!$S19="表示",'入力シート'!E19,""),"")</f>
        <v/>
      </c>
      <c r="E19" s="11">
        <f>IFERROR(IF('入力シート'!$S19="表示",'入力シート'!F19,""),"")</f>
        <v/>
      </c>
      <c r="F19" s="3">
        <f>IFERROR(IF('入力シート'!$S19="表示",'入力シート'!G19,""),"")</f>
        <v/>
      </c>
      <c r="G19" s="3">
        <f>IFERROR(IF('入力シート'!$S19="表示",'入力シート'!I19,""),"")</f>
        <v/>
      </c>
      <c r="H19" s="11">
        <f>IFERROR(IF('入力シート'!$S19="表示",'入力シート'!R19,""),"")</f>
        <v/>
      </c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</row>
    <row r="20" ht="26.75" customHeight="1">
      <c r="A20" s="11">
        <f>IFERROR(IF('入力シート'!$S20="表示",'入力シート'!A20,""),"")</f>
        <v/>
      </c>
      <c r="B20" s="11">
        <f>IFERROR(IF('入力シート'!$S20="表示",'入力シート'!B20,""),"")</f>
        <v/>
      </c>
      <c r="C20" s="11">
        <f>IFERROR(IF('入力シート'!$S20="表示",'入力シート'!D20,""),"")</f>
        <v/>
      </c>
      <c r="D20" s="3">
        <f>IFERROR(IF('入力シート'!$S20="表示",'入力シート'!E20,""),"")</f>
        <v/>
      </c>
      <c r="E20" s="11">
        <f>IFERROR(IF('入力シート'!$S20="表示",'入力シート'!F20,""),"")</f>
        <v/>
      </c>
      <c r="F20" s="3">
        <f>IFERROR(IF('入力シート'!$S20="表示",'入力シート'!G20,""),"")</f>
        <v/>
      </c>
      <c r="G20" s="3">
        <f>IFERROR(IF('入力シート'!$S20="表示",'入力シート'!I20,""),"")</f>
        <v/>
      </c>
      <c r="H20" s="11">
        <f>IFERROR(IF('入力シート'!$S20="表示",'入力シート'!R20,""),"")</f>
        <v/>
      </c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26.75" customHeight="1">
      <c r="A21" s="11">
        <f>IFERROR(IF('入力シート'!$S21="表示",'入力シート'!A21,""),"")</f>
        <v/>
      </c>
      <c r="B21" s="11">
        <f>IFERROR(IF('入力シート'!$S21="表示",'入力シート'!B21,""),"")</f>
        <v/>
      </c>
      <c r="C21" s="11">
        <f>IFERROR(IF('入力シート'!$S21="表示",'入力シート'!D21,""),"")</f>
        <v/>
      </c>
      <c r="D21" s="3">
        <f>IFERROR(IF('入力シート'!$S21="表示",'入力シート'!E21,""),"")</f>
        <v/>
      </c>
      <c r="E21" s="11">
        <f>IFERROR(IF('入力シート'!$S21="表示",'入力シート'!F21,""),"")</f>
        <v/>
      </c>
      <c r="F21" s="3">
        <f>IFERROR(IF('入力シート'!$S21="表示",'入力シート'!G21,""),"")</f>
        <v/>
      </c>
      <c r="G21" s="3">
        <f>IFERROR(IF('入力シート'!$S21="表示",'入力シート'!I21,""),"")</f>
        <v/>
      </c>
      <c r="H21" s="11">
        <f>IFERROR(IF('入力シート'!$S21="表示",'入力シート'!R21,""),"")</f>
        <v/>
      </c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ht="26.75" customHeight="1">
      <c r="A22" s="11">
        <f>IFERROR(IF('入力シート'!$S22="表示",'入力シート'!A22,""),"")</f>
        <v/>
      </c>
      <c r="B22" s="11">
        <f>IFERROR(IF('入力シート'!$S22="表示",'入力シート'!B22,""),"")</f>
        <v/>
      </c>
      <c r="C22" s="11">
        <f>IFERROR(IF('入力シート'!$S22="表示",'入力シート'!D22,""),"")</f>
        <v/>
      </c>
      <c r="D22" s="3">
        <f>IFERROR(IF('入力シート'!$S22="表示",'入力シート'!E22,""),"")</f>
        <v/>
      </c>
      <c r="E22" s="11">
        <f>IFERROR(IF('入力シート'!$S22="表示",'入力シート'!F22,""),"")</f>
        <v/>
      </c>
      <c r="F22" s="3">
        <f>IFERROR(IF('入力シート'!$S22="表示",'入力シート'!G22,""),"")</f>
        <v/>
      </c>
      <c r="G22" s="3">
        <f>IFERROR(IF('入力シート'!$S22="表示",'入力シート'!I22,""),"")</f>
        <v/>
      </c>
      <c r="H22" s="11">
        <f>IFERROR(IF('入力シート'!$S22="表示",'入力シート'!R22,""),"")</f>
        <v/>
      </c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 ht="26.75" customHeight="1">
      <c r="A23" s="11">
        <f>IFERROR(IF('入力シート'!$S23="表示",'入力シート'!A23,""),"")</f>
        <v/>
      </c>
      <c r="B23" s="11">
        <f>IFERROR(IF('入力シート'!$S23="表示",'入力シート'!B23,""),"")</f>
        <v/>
      </c>
      <c r="C23" s="11">
        <f>IFERROR(IF('入力シート'!$S23="表示",'入力シート'!D23,""),"")</f>
        <v/>
      </c>
      <c r="D23" s="3">
        <f>IFERROR(IF('入力シート'!$S23="表示",'入力シート'!E23,""),"")</f>
        <v/>
      </c>
      <c r="E23" s="11">
        <f>IFERROR(IF('入力シート'!$S23="表示",'入力シート'!F23,""),"")</f>
        <v/>
      </c>
      <c r="F23" s="3">
        <f>IFERROR(IF('入力シート'!$S23="表示",'入力シート'!G23,""),"")</f>
        <v/>
      </c>
      <c r="G23" s="3">
        <f>IFERROR(IF('入力シート'!$S23="表示",'入力シート'!I23,""),"")</f>
        <v/>
      </c>
      <c r="H23" s="11">
        <f>IFERROR(IF('入力シート'!$S23="表示",'入力シート'!R23,""),"")</f>
        <v/>
      </c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</row>
    <row r="24" ht="26.75" customHeight="1">
      <c r="A24" s="11">
        <f>IFERROR(IF('入力シート'!$S24="表示",'入力シート'!A24,""),"")</f>
        <v/>
      </c>
      <c r="B24" s="11">
        <f>IFERROR(IF('入力シート'!$S24="表示",'入力シート'!B24,""),"")</f>
        <v/>
      </c>
      <c r="C24" s="11">
        <f>IFERROR(IF('入力シート'!$S24="表示",'入力シート'!D24,""),"")</f>
        <v/>
      </c>
      <c r="D24" s="3">
        <f>IFERROR(IF('入力シート'!$S24="表示",'入力シート'!E24,""),"")</f>
        <v/>
      </c>
      <c r="E24" s="11">
        <f>IFERROR(IF('入力シート'!$S24="表示",'入力シート'!F24,""),"")</f>
        <v/>
      </c>
      <c r="F24" s="3">
        <f>IFERROR(IF('入力シート'!$S24="表示",'入力シート'!G24,""),"")</f>
        <v/>
      </c>
      <c r="G24" s="3">
        <f>IFERROR(IF('入力シート'!$S24="表示",'入力シート'!I24,""),"")</f>
        <v/>
      </c>
      <c r="H24" s="11">
        <f>IFERROR(IF('入力シート'!$S24="表示",'入力シート'!R24,""),"")</f>
        <v/>
      </c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 ht="26.75" customHeight="1">
      <c r="A25" s="11">
        <f>IFERROR(IF('入力シート'!$S25="表示",'入力シート'!A25,""),"")</f>
        <v/>
      </c>
      <c r="B25" s="11">
        <f>IFERROR(IF('入力シート'!$S25="表示",'入力シート'!B25,""),"")</f>
        <v/>
      </c>
      <c r="C25" s="11">
        <f>IFERROR(IF('入力シート'!$S25="表示",'入力シート'!D25,""),"")</f>
        <v/>
      </c>
      <c r="D25" s="3">
        <f>IFERROR(IF('入力シート'!$S25="表示",'入力シート'!E25,""),"")</f>
        <v/>
      </c>
      <c r="E25" s="11">
        <f>IFERROR(IF('入力シート'!$S25="表示",'入力シート'!F25,""),"")</f>
        <v/>
      </c>
      <c r="F25" s="3">
        <f>IFERROR(IF('入力シート'!$S25="表示",'入力シート'!G25,""),"")</f>
        <v/>
      </c>
      <c r="G25" s="3">
        <f>IFERROR(IF('入力シート'!$S25="表示",'入力シート'!I25,""),"")</f>
        <v/>
      </c>
      <c r="H25" s="11">
        <f>IFERROR(IF('入力シート'!$S25="表示",'入力シート'!R25,""),"")</f>
        <v/>
      </c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 ht="26.75" customHeight="1">
      <c r="A26" s="11">
        <f>IFERROR(IF('入力シート'!$S26="表示",'入力シート'!A26,""),"")</f>
        <v/>
      </c>
      <c r="B26" s="11">
        <f>IFERROR(IF('入力シート'!$S26="表示",'入力シート'!B26,""),"")</f>
        <v/>
      </c>
      <c r="C26" s="11">
        <f>IFERROR(IF('入力シート'!$S26="表示",'入力シート'!D26,""),"")</f>
        <v/>
      </c>
      <c r="D26" s="3">
        <f>IFERROR(IF('入力シート'!$S26="表示",'入力シート'!E26,""),"")</f>
        <v/>
      </c>
      <c r="E26" s="11">
        <f>IFERROR(IF('入力シート'!$S26="表示",'入力シート'!F26,""),"")</f>
        <v/>
      </c>
      <c r="F26" s="3">
        <f>IFERROR(IF('入力シート'!$S26="表示",'入力シート'!G26,""),"")</f>
        <v/>
      </c>
      <c r="G26" s="3">
        <f>IFERROR(IF('入力シート'!$S26="表示",'入力シート'!I26,""),"")</f>
        <v/>
      </c>
      <c r="H26" s="11">
        <f>IFERROR(IF('入力シート'!$S26="表示",'入力シート'!R26,""),"")</f>
        <v/>
      </c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 ht="26.75" customHeight="1">
      <c r="A27" s="11">
        <f>IFERROR(IF('入力シート'!$S27="表示",'入力シート'!A27,""),"")</f>
        <v/>
      </c>
      <c r="B27" s="11">
        <f>IFERROR(IF('入力シート'!$S27="表示",'入力シート'!B27,""),"")</f>
        <v/>
      </c>
      <c r="C27" s="11">
        <f>IFERROR(IF('入力シート'!$S27="表示",'入力シート'!D27,""),"")</f>
        <v/>
      </c>
      <c r="D27" s="3">
        <f>IFERROR(IF('入力シート'!$S27="表示",'入力シート'!E27,""),"")</f>
        <v/>
      </c>
      <c r="E27" s="11">
        <f>IFERROR(IF('入力シート'!$S27="表示",'入力シート'!F27,""),"")</f>
        <v/>
      </c>
      <c r="F27" s="3">
        <f>IFERROR(IF('入力シート'!$S27="表示",'入力シート'!G27,""),"")</f>
        <v/>
      </c>
      <c r="G27" s="3">
        <f>IFERROR(IF('入力シート'!$S27="表示",'入力シート'!I27,""),"")</f>
        <v/>
      </c>
      <c r="H27" s="11">
        <f>IFERROR(IF('入力シート'!$S27="表示",'入力シート'!R27,""),"")</f>
        <v/>
      </c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</row>
    <row r="28" ht="26.75" customHeight="1">
      <c r="A28" s="11">
        <f>IFERROR(IF('入力シート'!$S28="表示",'入力シート'!A28,""),"")</f>
        <v/>
      </c>
      <c r="B28" s="11">
        <f>IFERROR(IF('入力シート'!$S28="表示",'入力シート'!B28,""),"")</f>
        <v/>
      </c>
      <c r="C28" s="11">
        <f>IFERROR(IF('入力シート'!$S28="表示",'入力シート'!D28,""),"")</f>
        <v/>
      </c>
      <c r="D28" s="3">
        <f>IFERROR(IF('入力シート'!$S28="表示",'入力シート'!E28,""),"")</f>
        <v/>
      </c>
      <c r="E28" s="11">
        <f>IFERROR(IF('入力シート'!$S28="表示",'入力シート'!F28,""),"")</f>
        <v/>
      </c>
      <c r="F28" s="3">
        <f>IFERROR(IF('入力シート'!$S28="表示",'入力シート'!G28,""),"")</f>
        <v/>
      </c>
      <c r="G28" s="3">
        <f>IFERROR(IF('入力シート'!$S28="表示",'入力シート'!I28,""),"")</f>
        <v/>
      </c>
      <c r="H28" s="11">
        <f>IFERROR(IF('入力シート'!$S28="表示",'入力シート'!R28,""),"")</f>
        <v/>
      </c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 ht="26.75" customHeight="1">
      <c r="A29" s="11">
        <f>IFERROR(IF('入力シート'!$S29="表示",'入力シート'!A29,""),"")</f>
        <v/>
      </c>
      <c r="B29" s="11">
        <f>IFERROR(IF('入力シート'!$S29="表示",'入力シート'!B29,""),"")</f>
        <v/>
      </c>
      <c r="C29" s="11">
        <f>IFERROR(IF('入力シート'!$S29="表示",'入力シート'!D29,""),"")</f>
        <v/>
      </c>
      <c r="D29" s="3">
        <f>IFERROR(IF('入力シート'!$S29="表示",'入力シート'!E29,""),"")</f>
        <v/>
      </c>
      <c r="E29" s="11">
        <f>IFERROR(IF('入力シート'!$S29="表示",'入力シート'!F29,""),"")</f>
        <v/>
      </c>
      <c r="F29" s="3">
        <f>IFERROR(IF('入力シート'!$S29="表示",'入力シート'!G29,""),"")</f>
        <v/>
      </c>
      <c r="G29" s="3">
        <f>IFERROR(IF('入力シート'!$S29="表示",'入力シート'!I29,""),"")</f>
        <v/>
      </c>
      <c r="H29" s="11">
        <f>IFERROR(IF('入力シート'!$S29="表示",'入力シート'!R29,""),"")</f>
        <v/>
      </c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</row>
    <row r="30" ht="26.75" customHeight="1">
      <c r="A30" s="11">
        <f>IFERROR(IF('入力シート'!$S30="表示",'入力シート'!A30,""),"")</f>
        <v/>
      </c>
      <c r="B30" s="11">
        <f>IFERROR(IF('入力シート'!$S30="表示",'入力シート'!B30,""),"")</f>
        <v/>
      </c>
      <c r="C30" s="11">
        <f>IFERROR(IF('入力シート'!$S30="表示",'入力シート'!D30,""),"")</f>
        <v/>
      </c>
      <c r="D30" s="3">
        <f>IFERROR(IF('入力シート'!$S30="表示",'入力シート'!E30,""),"")</f>
        <v/>
      </c>
      <c r="E30" s="11">
        <f>IFERROR(IF('入力シート'!$S30="表示",'入力シート'!F30,""),"")</f>
        <v/>
      </c>
      <c r="F30" s="3">
        <f>IFERROR(IF('入力シート'!$S30="表示",'入力シート'!G30,""),"")</f>
        <v/>
      </c>
      <c r="G30" s="3">
        <f>IFERROR(IF('入力シート'!$S30="表示",'入力シート'!I30,""),"")</f>
        <v/>
      </c>
      <c r="H30" s="11">
        <f>IFERROR(IF('入力シート'!$S30="表示",'入力シート'!R30,""),"")</f>
        <v/>
      </c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</row>
    <row r="31" ht="26.75" customHeight="1">
      <c r="A31" s="11">
        <f>IFERROR(IF('入力シート'!$S31="表示",'入力シート'!A31,""),"")</f>
        <v/>
      </c>
      <c r="B31" s="11">
        <f>IFERROR(IF('入力シート'!$S31="表示",'入力シート'!B31,""),"")</f>
        <v/>
      </c>
      <c r="C31" s="11">
        <f>IFERROR(IF('入力シート'!$S31="表示",'入力シート'!D31,""),"")</f>
        <v/>
      </c>
      <c r="D31" s="3">
        <f>IFERROR(IF('入力シート'!$S31="表示",'入力シート'!E31,""),"")</f>
        <v/>
      </c>
      <c r="E31" s="11">
        <f>IFERROR(IF('入力シート'!$S31="表示",'入力シート'!F31,""),"")</f>
        <v/>
      </c>
      <c r="F31" s="3">
        <f>IFERROR(IF('入力シート'!$S31="表示",'入力シート'!G31,""),"")</f>
        <v/>
      </c>
      <c r="G31" s="3">
        <f>IFERROR(IF('入力シート'!$S31="表示",'入力シート'!I31,""),"")</f>
        <v/>
      </c>
      <c r="H31" s="11">
        <f>IFERROR(IF('入力シート'!$S31="表示",'入力シート'!R31,""),"")</f>
        <v/>
      </c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</row>
    <row r="32" ht="26.75" customHeight="1">
      <c r="A32" s="11">
        <f>IFERROR(IF('入力シート'!$S32="表示",'入力シート'!A32,""),"")</f>
        <v/>
      </c>
      <c r="B32" s="11">
        <f>IFERROR(IF('入力シート'!$S32="表示",'入力シート'!B32,""),"")</f>
        <v/>
      </c>
      <c r="C32" s="11">
        <f>IFERROR(IF('入力シート'!$S32="表示",'入力シート'!D32,""),"")</f>
        <v/>
      </c>
      <c r="D32" s="3">
        <f>IFERROR(IF('入力シート'!$S32="表示",'入力シート'!E32,""),"")</f>
        <v/>
      </c>
      <c r="E32" s="11">
        <f>IFERROR(IF('入力シート'!$S32="表示",'入力シート'!F32,""),"")</f>
        <v/>
      </c>
      <c r="F32" s="3">
        <f>IFERROR(IF('入力シート'!$S32="表示",'入力シート'!G32,""),"")</f>
        <v/>
      </c>
      <c r="G32" s="3">
        <f>IFERROR(IF('入力シート'!$S32="表示",'入力シート'!I32,""),"")</f>
        <v/>
      </c>
      <c r="H32" s="11">
        <f>IFERROR(IF('入力シート'!$S32="表示",'入力シート'!R32,""),"")</f>
        <v/>
      </c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</row>
    <row r="33" ht="26.75" customHeight="1">
      <c r="A33" s="11">
        <f>IFERROR(IF('入力シート'!$S33="表示",'入力シート'!A33,""),"")</f>
        <v/>
      </c>
      <c r="B33" s="11">
        <f>IFERROR(IF('入力シート'!$S33="表示",'入力シート'!B33,""),"")</f>
        <v/>
      </c>
      <c r="C33" s="11">
        <f>IFERROR(IF('入力シート'!$S33="表示",'入力シート'!D33,""),"")</f>
        <v/>
      </c>
      <c r="D33" s="3">
        <f>IFERROR(IF('入力シート'!$S33="表示",'入力シート'!E33,""),"")</f>
        <v/>
      </c>
      <c r="E33" s="11">
        <f>IFERROR(IF('入力シート'!$S33="表示",'入力シート'!F33,""),"")</f>
        <v/>
      </c>
      <c r="F33" s="3">
        <f>IFERROR(IF('入力シート'!$S33="表示",'入力シート'!G33,""),"")</f>
        <v/>
      </c>
      <c r="G33" s="3">
        <f>IFERROR(IF('入力シート'!$S33="表示",'入力シート'!I33,""),"")</f>
        <v/>
      </c>
      <c r="H33" s="11">
        <f>IFERROR(IF('入力シート'!$S33="表示",'入力シート'!R33,""),"")</f>
        <v/>
      </c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</row>
    <row r="34" ht="26.75" customHeight="1">
      <c r="A34" s="11">
        <f>IFERROR(IF('入力シート'!$S34="表示",'入力シート'!A34,""),"")</f>
        <v/>
      </c>
      <c r="B34" s="11">
        <f>IFERROR(IF('入力シート'!$S34="表示",'入力シート'!B34,""),"")</f>
        <v/>
      </c>
      <c r="C34" s="11">
        <f>IFERROR(IF('入力シート'!$S34="表示",'入力シート'!D34,""),"")</f>
        <v/>
      </c>
      <c r="D34" s="3">
        <f>IFERROR(IF('入力シート'!$S34="表示",'入力シート'!E34,""),"")</f>
        <v/>
      </c>
      <c r="E34" s="11">
        <f>IFERROR(IF('入力シート'!$S34="表示",'入力シート'!F34,""),"")</f>
        <v/>
      </c>
      <c r="F34" s="3">
        <f>IFERROR(IF('入力シート'!$S34="表示",'入力シート'!G34,""),"")</f>
        <v/>
      </c>
      <c r="G34" s="3">
        <f>IFERROR(IF('入力シート'!$S34="表示",'入力シート'!I34,""),"")</f>
        <v/>
      </c>
      <c r="H34" s="11">
        <f>IFERROR(IF('入力シート'!$S34="表示",'入力シート'!R34,""),"")</f>
        <v/>
      </c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ht="26.75" customHeight="1">
      <c r="A35" s="11">
        <f>IFERROR(IF('入力シート'!$S35="表示",'入力シート'!A35,""),"")</f>
        <v/>
      </c>
      <c r="B35" s="11">
        <f>IFERROR(IF('入力シート'!$S35="表示",'入力シート'!B35,""),"")</f>
        <v/>
      </c>
      <c r="C35" s="11">
        <f>IFERROR(IF('入力シート'!$S35="表示",'入力シート'!D35,""),"")</f>
        <v/>
      </c>
      <c r="D35" s="3">
        <f>IFERROR(IF('入力シート'!$S35="表示",'入力シート'!E35,""),"")</f>
        <v/>
      </c>
      <c r="E35" s="11">
        <f>IFERROR(IF('入力シート'!$S35="表示",'入力シート'!F35,""),"")</f>
        <v/>
      </c>
      <c r="F35" s="3">
        <f>IFERROR(IF('入力シート'!$S35="表示",'入力シート'!G35,""),"")</f>
        <v/>
      </c>
      <c r="G35" s="3">
        <f>IFERROR(IF('入力シート'!$S35="表示",'入力シート'!I35,""),"")</f>
        <v/>
      </c>
      <c r="H35" s="11">
        <f>IFERROR(IF('入力シート'!$S35="表示",'入力シート'!R35,""),"")</f>
        <v/>
      </c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</row>
    <row r="36" ht="26.75" customHeight="1">
      <c r="A36" s="11">
        <f>IFERROR(IF('入力シート'!$S36="表示",'入力シート'!A36,""),"")</f>
        <v/>
      </c>
      <c r="B36" s="11">
        <f>IFERROR(IF('入力シート'!$S36="表示",'入力シート'!B36,""),"")</f>
        <v/>
      </c>
      <c r="C36" s="11">
        <f>IFERROR(IF('入力シート'!$S36="表示",'入力シート'!D36,""),"")</f>
        <v/>
      </c>
      <c r="D36" s="3">
        <f>IFERROR(IF('入力シート'!$S36="表示",'入力シート'!E36,""),"")</f>
        <v/>
      </c>
      <c r="E36" s="11">
        <f>IFERROR(IF('入力シート'!$S36="表示",'入力シート'!F36,""),"")</f>
        <v/>
      </c>
      <c r="F36" s="3">
        <f>IFERROR(IF('入力シート'!$S36="表示",'入力シート'!G36,""),"")</f>
        <v/>
      </c>
      <c r="G36" s="3">
        <f>IFERROR(IF('入力シート'!$S36="表示",'入力シート'!I36,""),"")</f>
        <v/>
      </c>
      <c r="H36" s="11">
        <f>IFERROR(IF('入力シート'!$S36="表示",'入力シート'!R36,""),"")</f>
        <v/>
      </c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</row>
    <row r="37" ht="26.75" customHeight="1">
      <c r="A37" s="11">
        <f>IFERROR(IF('入力シート'!$S37="表示",'入力シート'!A37,""),"")</f>
        <v/>
      </c>
      <c r="B37" s="11">
        <f>IFERROR(IF('入力シート'!$S37="表示",'入力シート'!B37,""),"")</f>
        <v/>
      </c>
      <c r="C37" s="11">
        <f>IFERROR(IF('入力シート'!$S37="表示",'入力シート'!D37,""),"")</f>
        <v/>
      </c>
      <c r="D37" s="3">
        <f>IFERROR(IF('入力シート'!$S37="表示",'入力シート'!E37,""),"")</f>
        <v/>
      </c>
      <c r="E37" s="11">
        <f>IFERROR(IF('入力シート'!$S37="表示",'入力シート'!F37,""),"")</f>
        <v/>
      </c>
      <c r="F37" s="3">
        <f>IFERROR(IF('入力シート'!$S37="表示",'入力シート'!G37,""),"")</f>
        <v/>
      </c>
      <c r="G37" s="3">
        <f>IFERROR(IF('入力シート'!$S37="表示",'入力シート'!I37,""),"")</f>
        <v/>
      </c>
      <c r="H37" s="11">
        <f>IFERROR(IF('入力シート'!$S37="表示",'入力シート'!R37,""),"")</f>
        <v/>
      </c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</row>
    <row r="38" ht="26.75" customHeight="1">
      <c r="A38" s="11">
        <f>IFERROR(IF('入力シート'!$S38="表示",'入力シート'!A38,""),"")</f>
        <v/>
      </c>
      <c r="B38" s="11">
        <f>IFERROR(IF('入力シート'!$S38="表示",'入力シート'!B38,""),"")</f>
        <v/>
      </c>
      <c r="C38" s="11">
        <f>IFERROR(IF('入力シート'!$S38="表示",'入力シート'!D38,""),"")</f>
        <v/>
      </c>
      <c r="D38" s="3">
        <f>IFERROR(IF('入力シート'!$S38="表示",'入力シート'!E38,""),"")</f>
        <v/>
      </c>
      <c r="E38" s="11">
        <f>IFERROR(IF('入力シート'!$S38="表示",'入力シート'!F38,""),"")</f>
        <v/>
      </c>
      <c r="F38" s="3">
        <f>IFERROR(IF('入力シート'!$S38="表示",'入力シート'!G38,""),"")</f>
        <v/>
      </c>
      <c r="G38" s="3">
        <f>IFERROR(IF('入力シート'!$S38="表示",'入力シート'!I38,""),"")</f>
        <v/>
      </c>
      <c r="H38" s="11">
        <f>IFERROR(IF('入力シート'!$S38="表示",'入力シート'!R38,""),"")</f>
        <v/>
      </c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</row>
    <row r="39" ht="26.75" customHeight="1">
      <c r="A39" s="11">
        <f>IFERROR(IF('入力シート'!$S39="表示",'入力シート'!A39,""),"")</f>
        <v/>
      </c>
      <c r="B39" s="11">
        <f>IFERROR(IF('入力シート'!$S39="表示",'入力シート'!B39,""),"")</f>
        <v/>
      </c>
      <c r="C39" s="11">
        <f>IFERROR(IF('入力シート'!$S39="表示",'入力シート'!D39,""),"")</f>
        <v/>
      </c>
      <c r="D39" s="3">
        <f>IFERROR(IF('入力シート'!$S39="表示",'入力シート'!E39,""),"")</f>
        <v/>
      </c>
      <c r="E39" s="11">
        <f>IFERROR(IF('入力シート'!$S39="表示",'入力シート'!F39,""),"")</f>
        <v/>
      </c>
      <c r="F39" s="3">
        <f>IFERROR(IF('入力シート'!$S39="表示",'入力シート'!G39,""),"")</f>
        <v/>
      </c>
      <c r="G39" s="3">
        <f>IFERROR(IF('入力シート'!$S39="表示",'入力シート'!I39,""),"")</f>
        <v/>
      </c>
      <c r="H39" s="11">
        <f>IFERROR(IF('入力シート'!$S39="表示",'入力シート'!R39,""),"")</f>
        <v/>
      </c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</row>
    <row r="40" ht="26.75" customHeight="1">
      <c r="A40" s="11">
        <f>IFERROR(IF('入力シート'!$S40="表示",'入力シート'!A40,""),"")</f>
        <v/>
      </c>
      <c r="B40" s="11">
        <f>IFERROR(IF('入力シート'!$S40="表示",'入力シート'!B40,""),"")</f>
        <v/>
      </c>
      <c r="C40" s="11">
        <f>IFERROR(IF('入力シート'!$S40="表示",'入力シート'!D40,""),"")</f>
        <v/>
      </c>
      <c r="D40" s="3">
        <f>IFERROR(IF('入力シート'!$S40="表示",'入力シート'!E40,""),"")</f>
        <v/>
      </c>
      <c r="E40" s="11">
        <f>IFERROR(IF('入力シート'!$S40="表示",'入力シート'!F40,""),"")</f>
        <v/>
      </c>
      <c r="F40" s="3">
        <f>IFERROR(IF('入力シート'!$S40="表示",'入力シート'!G40,""),"")</f>
        <v/>
      </c>
      <c r="G40" s="3">
        <f>IFERROR(IF('入力シート'!$S40="表示",'入力シート'!I40,""),"")</f>
        <v/>
      </c>
      <c r="H40" s="11">
        <f>IFERROR(IF('入力シート'!$S40="表示",'入力シート'!R40,""),"")</f>
        <v/>
      </c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</row>
    <row r="41" ht="26.75" customHeight="1">
      <c r="A41" s="11">
        <f>IFERROR(IF('入力シート'!$S41="表示",'入力シート'!A41,""),"")</f>
        <v/>
      </c>
      <c r="B41" s="11">
        <f>IFERROR(IF('入力シート'!$S41="表示",'入力シート'!B41,""),"")</f>
        <v/>
      </c>
      <c r="C41" s="11">
        <f>IFERROR(IF('入力シート'!$S41="表示",'入力シート'!D41,""),"")</f>
        <v/>
      </c>
      <c r="D41" s="3">
        <f>IFERROR(IF('入力シート'!$S41="表示",'入力シート'!E41,""),"")</f>
        <v/>
      </c>
      <c r="E41" s="11">
        <f>IFERROR(IF('入力シート'!$S41="表示",'入力シート'!F41,""),"")</f>
        <v/>
      </c>
      <c r="F41" s="3">
        <f>IFERROR(IF('入力シート'!$S41="表示",'入力シート'!G41,""),"")</f>
        <v/>
      </c>
      <c r="G41" s="3">
        <f>IFERROR(IF('入力シート'!$S41="表示",'入力シート'!I41,""),"")</f>
        <v/>
      </c>
      <c r="H41" s="11">
        <f>IFERROR(IF('入力シート'!$S41="表示",'入力シート'!R41,""),"")</f>
        <v/>
      </c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</row>
    <row r="42" ht="26.75" customHeight="1">
      <c r="A42" s="11">
        <f>IFERROR(IF('入力シート'!$S42="表示",'入力シート'!A42,""),"")</f>
        <v/>
      </c>
      <c r="B42" s="11">
        <f>IFERROR(IF('入力シート'!$S42="表示",'入力シート'!B42,""),"")</f>
        <v/>
      </c>
      <c r="C42" s="11">
        <f>IFERROR(IF('入力シート'!$S42="表示",'入力シート'!D42,""),"")</f>
        <v/>
      </c>
      <c r="D42" s="3">
        <f>IFERROR(IF('入力シート'!$S42="表示",'入力シート'!E42,""),"")</f>
        <v/>
      </c>
      <c r="E42" s="11">
        <f>IFERROR(IF('入力シート'!$S42="表示",'入力シート'!F42,""),"")</f>
        <v/>
      </c>
      <c r="F42" s="3">
        <f>IFERROR(IF('入力シート'!$S42="表示",'入力シート'!G42,""),"")</f>
        <v/>
      </c>
      <c r="G42" s="3">
        <f>IFERROR(IF('入力シート'!$S42="表示",'入力シート'!I42,""),"")</f>
        <v/>
      </c>
      <c r="H42" s="11">
        <f>IFERROR(IF('入力シート'!$S42="表示",'入力シート'!R42,""),"")</f>
        <v/>
      </c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</row>
    <row r="43" ht="26.75" customHeight="1">
      <c r="A43" s="11">
        <f>IFERROR(IF('入力シート'!$S43="表示",'入力シート'!A43,""),"")</f>
        <v/>
      </c>
      <c r="B43" s="11">
        <f>IFERROR(IF('入力シート'!$S43="表示",'入力シート'!B43,""),"")</f>
        <v/>
      </c>
      <c r="C43" s="11">
        <f>IFERROR(IF('入力シート'!$S43="表示",'入力シート'!D43,""),"")</f>
        <v/>
      </c>
      <c r="D43" s="3">
        <f>IFERROR(IF('入力シート'!$S43="表示",'入力シート'!E43,""),"")</f>
        <v/>
      </c>
      <c r="E43" s="11">
        <f>IFERROR(IF('入力シート'!$S43="表示",'入力シート'!F43,""),"")</f>
        <v/>
      </c>
      <c r="F43" s="3">
        <f>IFERROR(IF('入力シート'!$S43="表示",'入力シート'!G43,""),"")</f>
        <v/>
      </c>
      <c r="G43" s="3">
        <f>IFERROR(IF('入力シート'!$S43="表示",'入力シート'!I43,""),"")</f>
        <v/>
      </c>
      <c r="H43" s="11">
        <f>IFERROR(IF('入力シート'!$S43="表示",'入力シート'!R43,""),"")</f>
        <v/>
      </c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</row>
    <row r="44" ht="26.75" customHeight="1">
      <c r="A44" s="11">
        <f>IFERROR(IF('入力シート'!$S44="表示",'入力シート'!A44,""),"")</f>
        <v/>
      </c>
      <c r="B44" s="11">
        <f>IFERROR(IF('入力シート'!$S44="表示",'入力シート'!B44,""),"")</f>
        <v/>
      </c>
      <c r="C44" s="11">
        <f>IFERROR(IF('入力シート'!$S44="表示",'入力シート'!D44,""),"")</f>
        <v/>
      </c>
      <c r="D44" s="3">
        <f>IFERROR(IF('入力シート'!$S44="表示",'入力シート'!E44,""),"")</f>
        <v/>
      </c>
      <c r="E44" s="11">
        <f>IFERROR(IF('入力シート'!$S44="表示",'入力シート'!F44,""),"")</f>
        <v/>
      </c>
      <c r="F44" s="3">
        <f>IFERROR(IF('入力シート'!$S44="表示",'入力シート'!G44,""),"")</f>
        <v/>
      </c>
      <c r="G44" s="3">
        <f>IFERROR(IF('入力シート'!$S44="表示",'入力シート'!I44,""),"")</f>
        <v/>
      </c>
      <c r="H44" s="11">
        <f>IFERROR(IF('入力シート'!$S44="表示",'入力シート'!R44,""),"")</f>
        <v/>
      </c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</row>
    <row r="45" ht="26.75" customHeight="1">
      <c r="A45" s="11">
        <f>IFERROR(IF('入力シート'!$S45="表示",'入力シート'!A45,""),"")</f>
        <v/>
      </c>
      <c r="B45" s="11">
        <f>IFERROR(IF('入力シート'!$S45="表示",'入力シート'!B45,""),"")</f>
        <v/>
      </c>
      <c r="C45" s="11">
        <f>IFERROR(IF('入力シート'!$S45="表示",'入力シート'!D45,""),"")</f>
        <v/>
      </c>
      <c r="D45" s="3">
        <f>IFERROR(IF('入力シート'!$S45="表示",'入力シート'!E45,""),"")</f>
        <v/>
      </c>
      <c r="E45" s="11">
        <f>IFERROR(IF('入力シート'!$S45="表示",'入力シート'!F45,""),"")</f>
        <v/>
      </c>
      <c r="F45" s="3">
        <f>IFERROR(IF('入力シート'!$S45="表示",'入力シート'!G45,""),"")</f>
        <v/>
      </c>
      <c r="G45" s="3">
        <f>IFERROR(IF('入力シート'!$S45="表示",'入力シート'!I45,""),"")</f>
        <v/>
      </c>
      <c r="H45" s="11">
        <f>IFERROR(IF('入力シート'!$S45="表示",'入力シート'!R45,""),"")</f>
        <v/>
      </c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</row>
    <row r="46" ht="26.75" customHeight="1">
      <c r="A46" s="11">
        <f>IFERROR(IF('入力シート'!$S46="表示",'入力シート'!A46,""),"")</f>
        <v/>
      </c>
      <c r="B46" s="11">
        <f>IFERROR(IF('入力シート'!$S46="表示",'入力シート'!B46,""),"")</f>
        <v/>
      </c>
      <c r="C46" s="11">
        <f>IFERROR(IF('入力シート'!$S46="表示",'入力シート'!D46,""),"")</f>
        <v/>
      </c>
      <c r="D46" s="3">
        <f>IFERROR(IF('入力シート'!$S46="表示",'入力シート'!E46,""),"")</f>
        <v/>
      </c>
      <c r="E46" s="11">
        <f>IFERROR(IF('入力シート'!$S46="表示",'入力シート'!F46,""),"")</f>
        <v/>
      </c>
      <c r="F46" s="3">
        <f>IFERROR(IF('入力シート'!$S46="表示",'入力シート'!G46,""),"")</f>
        <v/>
      </c>
      <c r="G46" s="3">
        <f>IFERROR(IF('入力シート'!$S46="表示",'入力シート'!I46,""),"")</f>
        <v/>
      </c>
      <c r="H46" s="11">
        <f>IFERROR(IF('入力シート'!$S46="表示",'入力シート'!R46,""),"")</f>
        <v/>
      </c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</row>
    <row r="47" ht="26.75" customHeight="1">
      <c r="A47" s="11">
        <f>IFERROR(IF('入力シート'!$S47="表示",'入力シート'!A47,""),"")</f>
        <v/>
      </c>
      <c r="B47" s="11">
        <f>IFERROR(IF('入力シート'!$S47="表示",'入力シート'!B47,""),"")</f>
        <v/>
      </c>
      <c r="C47" s="11">
        <f>IFERROR(IF('入力シート'!$S47="表示",'入力シート'!D47,""),"")</f>
        <v/>
      </c>
      <c r="D47" s="3">
        <f>IFERROR(IF('入力シート'!$S47="表示",'入力シート'!E47,""),"")</f>
        <v/>
      </c>
      <c r="E47" s="11">
        <f>IFERROR(IF('入力シート'!$S47="表示",'入力シート'!F47,""),"")</f>
        <v/>
      </c>
      <c r="F47" s="3">
        <f>IFERROR(IF('入力シート'!$S47="表示",'入力シート'!G47,""),"")</f>
        <v/>
      </c>
      <c r="G47" s="3">
        <f>IFERROR(IF('入力シート'!$S47="表示",'入力シート'!I47,""),"")</f>
        <v/>
      </c>
      <c r="H47" s="11">
        <f>IFERROR(IF('入力シート'!$S47="表示",'入力シート'!R47,""),"")</f>
        <v/>
      </c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</row>
    <row r="48" ht="26.75" customHeight="1">
      <c r="A48" s="11">
        <f>IFERROR(IF('入力シート'!$S48="表示",'入力シート'!A48,""),"")</f>
        <v/>
      </c>
      <c r="B48" s="11">
        <f>IFERROR(IF('入力シート'!$S48="表示",'入力シート'!B48,""),"")</f>
        <v/>
      </c>
      <c r="C48" s="11">
        <f>IFERROR(IF('入力シート'!$S48="表示",'入力シート'!D48,""),"")</f>
        <v/>
      </c>
      <c r="D48" s="3">
        <f>IFERROR(IF('入力シート'!$S48="表示",'入力シート'!E48,""),"")</f>
        <v/>
      </c>
      <c r="E48" s="11">
        <f>IFERROR(IF('入力シート'!$S48="表示",'入力シート'!F48,""),"")</f>
        <v/>
      </c>
      <c r="F48" s="3">
        <f>IFERROR(IF('入力シート'!$S48="表示",'入力シート'!G48,""),"")</f>
        <v/>
      </c>
      <c r="G48" s="3">
        <f>IFERROR(IF('入力シート'!$S48="表示",'入力シート'!I48,""),"")</f>
        <v/>
      </c>
      <c r="H48" s="11">
        <f>IFERROR(IF('入力シート'!$S48="表示",'入力シート'!R48,""),"")</f>
        <v/>
      </c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</row>
    <row r="49" ht="26.75" customHeight="1">
      <c r="A49" s="11">
        <f>IFERROR(IF('入力シート'!$S49="表示",'入力シート'!A49,""),"")</f>
        <v/>
      </c>
      <c r="B49" s="11">
        <f>IFERROR(IF('入力シート'!$S49="表示",'入力シート'!B49,""),"")</f>
        <v/>
      </c>
      <c r="C49" s="11">
        <f>IFERROR(IF('入力シート'!$S49="表示",'入力シート'!D49,""),"")</f>
        <v/>
      </c>
      <c r="D49" s="3">
        <f>IFERROR(IF('入力シート'!$S49="表示",'入力シート'!E49,""),"")</f>
        <v/>
      </c>
      <c r="E49" s="11">
        <f>IFERROR(IF('入力シート'!$S49="表示",'入力シート'!F49,""),"")</f>
        <v/>
      </c>
      <c r="F49" s="3">
        <f>IFERROR(IF('入力シート'!$S49="表示",'入力シート'!G49,""),"")</f>
        <v/>
      </c>
      <c r="G49" s="3">
        <f>IFERROR(IF('入力シート'!$S49="表示",'入力シート'!I49,""),"")</f>
        <v/>
      </c>
      <c r="H49" s="11">
        <f>IFERROR(IF('入力シート'!$S49="表示",'入力シート'!R49,""),"")</f>
        <v/>
      </c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</row>
    <row r="50" ht="26.75" customHeight="1">
      <c r="A50" s="11">
        <f>IFERROR(IF('入力シート'!$S50="表示",'入力シート'!A50,""),"")</f>
        <v/>
      </c>
      <c r="B50" s="11">
        <f>IFERROR(IF('入力シート'!$S50="表示",'入力シート'!B50,""),"")</f>
        <v/>
      </c>
      <c r="C50" s="11">
        <f>IFERROR(IF('入力シート'!$S50="表示",'入力シート'!D50,""),"")</f>
        <v/>
      </c>
      <c r="D50" s="3">
        <f>IFERROR(IF('入力シート'!$S50="表示",'入力シート'!E50,""),"")</f>
        <v/>
      </c>
      <c r="E50" s="11">
        <f>IFERROR(IF('入力シート'!$S50="表示",'入力シート'!F50,""),"")</f>
        <v/>
      </c>
      <c r="F50" s="3">
        <f>IFERROR(IF('入力シート'!$S50="表示",'入力シート'!G50,""),"")</f>
        <v/>
      </c>
      <c r="G50" s="3">
        <f>IFERROR(IF('入力シート'!$S50="表示",'入力シート'!I50,""),"")</f>
        <v/>
      </c>
      <c r="H50" s="11">
        <f>IFERROR(IF('入力シート'!$S50="表示",'入力シート'!R50,""),"")</f>
        <v/>
      </c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</row>
    <row r="51" ht="26.75" customHeight="1">
      <c r="A51" s="11">
        <f>IFERROR(IF('入力シート'!$S51="表示",'入力シート'!A51,""),"")</f>
        <v/>
      </c>
      <c r="B51" s="11">
        <f>IFERROR(IF('入力シート'!$S51="表示",'入力シート'!B51,""),"")</f>
        <v/>
      </c>
      <c r="C51" s="11">
        <f>IFERROR(IF('入力シート'!$S51="表示",'入力シート'!D51,""),"")</f>
        <v/>
      </c>
      <c r="D51" s="3">
        <f>IFERROR(IF('入力シート'!$S51="表示",'入力シート'!E51,""),"")</f>
        <v/>
      </c>
      <c r="E51" s="11">
        <f>IFERROR(IF('入力シート'!$S51="表示",'入力シート'!F51,""),"")</f>
        <v/>
      </c>
      <c r="F51" s="3">
        <f>IFERROR(IF('入力シート'!$S51="表示",'入力シート'!G51,""),"")</f>
        <v/>
      </c>
      <c r="G51" s="3">
        <f>IFERROR(IF('入力シート'!$S51="表示",'入力シート'!I51,""),"")</f>
        <v/>
      </c>
      <c r="H51" s="11">
        <f>IFERROR(IF('入力シート'!$S51="表示",'入力シート'!R51,""),"")</f>
        <v/>
      </c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</row>
    <row r="52" ht="26.75" customHeight="1">
      <c r="A52" s="11">
        <f>IFERROR(IF('入力シート'!$S52="表示",'入力シート'!A52,""),"")</f>
        <v/>
      </c>
      <c r="B52" s="11">
        <f>IFERROR(IF('入力シート'!$S52="表示",'入力シート'!B52,""),"")</f>
        <v/>
      </c>
      <c r="C52" s="11">
        <f>IFERROR(IF('入力シート'!$S52="表示",'入力シート'!D52,""),"")</f>
        <v/>
      </c>
      <c r="D52" s="3">
        <f>IFERROR(IF('入力シート'!$S52="表示",'入力シート'!E52,""),"")</f>
        <v/>
      </c>
      <c r="E52" s="11">
        <f>IFERROR(IF('入力シート'!$S52="表示",'入力シート'!F52,""),"")</f>
        <v/>
      </c>
      <c r="F52" s="3">
        <f>IFERROR(IF('入力シート'!$S52="表示",'入力シート'!G52,""),"")</f>
        <v/>
      </c>
      <c r="G52" s="3">
        <f>IFERROR(IF('入力シート'!$S52="表示",'入力シート'!I52,""),"")</f>
        <v/>
      </c>
      <c r="H52" s="11">
        <f>IFERROR(IF('入力シート'!$S52="表示",'入力シート'!R52,""),"")</f>
        <v/>
      </c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</row>
    <row r="53" ht="26.75" customHeight="1">
      <c r="A53" s="11">
        <f>IFERROR(IF('入力シート'!$S53="表示",'入力シート'!A53,""),"")</f>
        <v/>
      </c>
      <c r="B53" s="11">
        <f>IFERROR(IF('入力シート'!$S53="表示",'入力シート'!B53,""),"")</f>
        <v/>
      </c>
      <c r="C53" s="11">
        <f>IFERROR(IF('入力シート'!$S53="表示",'入力シート'!D53,""),"")</f>
        <v/>
      </c>
      <c r="D53" s="3">
        <f>IFERROR(IF('入力シート'!$S53="表示",'入力シート'!E53,""),"")</f>
        <v/>
      </c>
      <c r="E53" s="11">
        <f>IFERROR(IF('入力シート'!$S53="表示",'入力シート'!F53,""),"")</f>
        <v/>
      </c>
      <c r="F53" s="3">
        <f>IFERROR(IF('入力シート'!$S53="表示",'入力シート'!G53,""),"")</f>
        <v/>
      </c>
      <c r="G53" s="3">
        <f>IFERROR(IF('入力シート'!$S53="表示",'入力シート'!I53,""),"")</f>
        <v/>
      </c>
      <c r="H53" s="11">
        <f>IFERROR(IF('入力シート'!$S53="表示",'入力シート'!R53,""),"")</f>
        <v/>
      </c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</row>
    <row r="54" ht="26.75" customHeight="1">
      <c r="A54" s="11">
        <f>IFERROR(IF('入力シート'!$S54="表示",'入力シート'!A54,""),"")</f>
        <v/>
      </c>
      <c r="B54" s="11">
        <f>IFERROR(IF('入力シート'!$S54="表示",'入力シート'!B54,""),"")</f>
        <v/>
      </c>
      <c r="C54" s="11">
        <f>IFERROR(IF('入力シート'!$S54="表示",'入力シート'!D54,""),"")</f>
        <v/>
      </c>
      <c r="D54" s="3">
        <f>IFERROR(IF('入力シート'!$S54="表示",'入力シート'!E54,""),"")</f>
        <v/>
      </c>
      <c r="E54" s="11">
        <f>IFERROR(IF('入力シート'!$S54="表示",'入力シート'!F54,""),"")</f>
        <v/>
      </c>
      <c r="F54" s="3">
        <f>IFERROR(IF('入力シート'!$S54="表示",'入力シート'!G54,""),"")</f>
        <v/>
      </c>
      <c r="G54" s="3">
        <f>IFERROR(IF('入力シート'!$S54="表示",'入力シート'!I54,""),"")</f>
        <v/>
      </c>
      <c r="H54" s="11">
        <f>IFERROR(IF('入力シート'!$S54="表示",'入力シート'!R54,""),"")</f>
        <v/>
      </c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</row>
    <row r="55" ht="26.75" customHeight="1">
      <c r="A55" s="11">
        <f>IFERROR(IF('入力シート'!$S55="表示",'入力シート'!A55,""),"")</f>
        <v/>
      </c>
      <c r="B55" s="11">
        <f>IFERROR(IF('入力シート'!$S55="表示",'入力シート'!B55,""),"")</f>
        <v/>
      </c>
      <c r="C55" s="11">
        <f>IFERROR(IF('入力シート'!$S55="表示",'入力シート'!D55,""),"")</f>
        <v/>
      </c>
      <c r="D55" s="3">
        <f>IFERROR(IF('入力シート'!$S55="表示",'入力シート'!E55,""),"")</f>
        <v/>
      </c>
      <c r="E55" s="11">
        <f>IFERROR(IF('入力シート'!$S55="表示",'入力シート'!F55,""),"")</f>
        <v/>
      </c>
      <c r="F55" s="3">
        <f>IFERROR(IF('入力シート'!$S55="表示",'入力シート'!G55,""),"")</f>
        <v/>
      </c>
      <c r="G55" s="3">
        <f>IFERROR(IF('入力シート'!$S55="表示",'入力シート'!I55,""),"")</f>
        <v/>
      </c>
      <c r="H55" s="11">
        <f>IFERROR(IF('入力シート'!$S55="表示",'入力シート'!R55,""),"")</f>
        <v/>
      </c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</row>
    <row r="56" ht="26.75" customHeight="1">
      <c r="A56" s="11">
        <f>IFERROR(IF('入力シート'!$S56="表示",'入力シート'!A56,""),"")</f>
        <v/>
      </c>
      <c r="B56" s="11">
        <f>IFERROR(IF('入力シート'!$S56="表示",'入力シート'!B56,""),"")</f>
        <v/>
      </c>
      <c r="C56" s="11">
        <f>IFERROR(IF('入力シート'!$S56="表示",'入力シート'!D56,""),"")</f>
        <v/>
      </c>
      <c r="D56" s="3">
        <f>IFERROR(IF('入力シート'!$S56="表示",'入力シート'!E56,""),"")</f>
        <v/>
      </c>
      <c r="E56" s="11">
        <f>IFERROR(IF('入力シート'!$S56="表示",'入力シート'!F56,""),"")</f>
        <v/>
      </c>
      <c r="F56" s="3">
        <f>IFERROR(IF('入力シート'!$S56="表示",'入力シート'!G56,""),"")</f>
        <v/>
      </c>
      <c r="G56" s="3">
        <f>IFERROR(IF('入力シート'!$S56="表示",'入力シート'!I56,""),"")</f>
        <v/>
      </c>
      <c r="H56" s="11">
        <f>IFERROR(IF('入力シート'!$S56="表示",'入力シート'!R56,""),"")</f>
        <v/>
      </c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</row>
    <row r="57" ht="26.75" customHeight="1">
      <c r="A57" s="11">
        <f>IFERROR(IF('入力シート'!$S57="表示",'入力シート'!A57,""),"")</f>
        <v/>
      </c>
      <c r="B57" s="11">
        <f>IFERROR(IF('入力シート'!$S57="表示",'入力シート'!B57,""),"")</f>
        <v/>
      </c>
      <c r="C57" s="11">
        <f>IFERROR(IF('入力シート'!$S57="表示",'入力シート'!D57,""),"")</f>
        <v/>
      </c>
      <c r="D57" s="3">
        <f>IFERROR(IF('入力シート'!$S57="表示",'入力シート'!E57,""),"")</f>
        <v/>
      </c>
      <c r="E57" s="11">
        <f>IFERROR(IF('入力シート'!$S57="表示",'入力シート'!F57,""),"")</f>
        <v/>
      </c>
      <c r="F57" s="3">
        <f>IFERROR(IF('入力シート'!$S57="表示",'入力シート'!G57,""),"")</f>
        <v/>
      </c>
      <c r="G57" s="3">
        <f>IFERROR(IF('入力シート'!$S57="表示",'入力シート'!I57,""),"")</f>
        <v/>
      </c>
      <c r="H57" s="11">
        <f>IFERROR(IF('入力シート'!$S57="表示",'入力シート'!R57,""),"")</f>
        <v/>
      </c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</row>
    <row r="58" ht="26.75" customHeight="1">
      <c r="A58" s="11">
        <f>IFERROR(IF('入力シート'!$S58="表示",'入力シート'!A58,""),"")</f>
        <v/>
      </c>
      <c r="B58" s="11">
        <f>IFERROR(IF('入力シート'!$S58="表示",'入力シート'!B58,""),"")</f>
        <v/>
      </c>
      <c r="C58" s="11">
        <f>IFERROR(IF('入力シート'!$S58="表示",'入力シート'!D58,""),"")</f>
        <v/>
      </c>
      <c r="D58" s="3">
        <f>IFERROR(IF('入力シート'!$S58="表示",'入力シート'!E58,""),"")</f>
        <v/>
      </c>
      <c r="E58" s="11">
        <f>IFERROR(IF('入力シート'!$S58="表示",'入力シート'!F58,""),"")</f>
        <v/>
      </c>
      <c r="F58" s="3">
        <f>IFERROR(IF('入力シート'!$S58="表示",'入力シート'!G58,""),"")</f>
        <v/>
      </c>
      <c r="G58" s="3">
        <f>IFERROR(IF('入力シート'!$S58="表示",'入力シート'!I58,""),"")</f>
        <v/>
      </c>
      <c r="H58" s="11">
        <f>IFERROR(IF('入力シート'!$S58="表示",'入力シート'!R58,""),"")</f>
        <v/>
      </c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</row>
    <row r="59" ht="26.75" customHeight="1">
      <c r="A59" s="11">
        <f>IFERROR(IF('入力シート'!$S59="表示",'入力シート'!A59,""),"")</f>
        <v/>
      </c>
      <c r="B59" s="11">
        <f>IFERROR(IF('入力シート'!$S59="表示",'入力シート'!B59,""),"")</f>
        <v/>
      </c>
      <c r="C59" s="11">
        <f>IFERROR(IF('入力シート'!$S59="表示",'入力シート'!D59,""),"")</f>
        <v/>
      </c>
      <c r="D59" s="3">
        <f>IFERROR(IF('入力シート'!$S59="表示",'入力シート'!E59,""),"")</f>
        <v/>
      </c>
      <c r="E59" s="11">
        <f>IFERROR(IF('入力シート'!$S59="表示",'入力シート'!F59,""),"")</f>
        <v/>
      </c>
      <c r="F59" s="3">
        <f>IFERROR(IF('入力シート'!$S59="表示",'入力シート'!G59,""),"")</f>
        <v/>
      </c>
      <c r="G59" s="3">
        <f>IFERROR(IF('入力シート'!$S59="表示",'入力シート'!I59,""),"")</f>
        <v/>
      </c>
      <c r="H59" s="11">
        <f>IFERROR(IF('入力シート'!$S59="表示",'入力シート'!R59,""),"")</f>
        <v/>
      </c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</row>
    <row r="60" ht="26.75" customHeight="1">
      <c r="A60" s="11">
        <f>IFERROR(IF('入力シート'!$S60="表示",'入力シート'!A60,""),"")</f>
        <v/>
      </c>
      <c r="B60" s="11">
        <f>IFERROR(IF('入力シート'!$S60="表示",'入力シート'!B60,""),"")</f>
        <v/>
      </c>
      <c r="C60" s="11">
        <f>IFERROR(IF('入力シート'!$S60="表示",'入力シート'!D60,""),"")</f>
        <v/>
      </c>
      <c r="D60" s="3">
        <f>IFERROR(IF('入力シート'!$S60="表示",'入力シート'!E60,""),"")</f>
        <v/>
      </c>
      <c r="E60" s="11">
        <f>IFERROR(IF('入力シート'!$S60="表示",'入力シート'!F60,""),"")</f>
        <v/>
      </c>
      <c r="F60" s="3">
        <f>IFERROR(IF('入力シート'!$S60="表示",'入力シート'!G60,""),"")</f>
        <v/>
      </c>
      <c r="G60" s="3">
        <f>IFERROR(IF('入力シート'!$S60="表示",'入力シート'!I60,""),"")</f>
        <v/>
      </c>
      <c r="H60" s="11">
        <f>IFERROR(IF('入力シート'!$S60="表示",'入力シート'!R60,""),"")</f>
        <v/>
      </c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</row>
    <row r="61" ht="26.75" customHeight="1">
      <c r="A61" s="11">
        <f>IFERROR(IF('入力シート'!$S61="表示",'入力シート'!A61,""),"")</f>
        <v/>
      </c>
      <c r="B61" s="11">
        <f>IFERROR(IF('入力シート'!$S61="表示",'入力シート'!B61,""),"")</f>
        <v/>
      </c>
      <c r="C61" s="11">
        <f>IFERROR(IF('入力シート'!$S61="表示",'入力シート'!D61,""),"")</f>
        <v/>
      </c>
      <c r="D61" s="3">
        <f>IFERROR(IF('入力シート'!$S61="表示",'入力シート'!E61,""),"")</f>
        <v/>
      </c>
      <c r="E61" s="11">
        <f>IFERROR(IF('入力シート'!$S61="表示",'入力シート'!F61,""),"")</f>
        <v/>
      </c>
      <c r="F61" s="3">
        <f>IFERROR(IF('入力シート'!$S61="表示",'入力シート'!G61,""),"")</f>
        <v/>
      </c>
      <c r="G61" s="3">
        <f>IFERROR(IF('入力シート'!$S61="表示",'入力シート'!I61,""),"")</f>
        <v/>
      </c>
      <c r="H61" s="11">
        <f>IFERROR(IF('入力シート'!$S61="表示",'入力シート'!R61,""),"")</f>
        <v/>
      </c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</row>
    <row r="62" ht="26.75" customHeight="1">
      <c r="A62" s="11">
        <f>IFERROR(IF('入力シート'!$S62="表示",'入力シート'!A62,""),"")</f>
        <v/>
      </c>
      <c r="B62" s="11">
        <f>IFERROR(IF('入力シート'!$S62="表示",'入力シート'!B62,""),"")</f>
        <v/>
      </c>
      <c r="C62" s="11">
        <f>IFERROR(IF('入力シート'!$S62="表示",'入力シート'!D62,""),"")</f>
        <v/>
      </c>
      <c r="D62" s="3">
        <f>IFERROR(IF('入力シート'!$S62="表示",'入力シート'!E62,""),"")</f>
        <v/>
      </c>
      <c r="E62" s="11">
        <f>IFERROR(IF('入力シート'!$S62="表示",'入力シート'!F62,""),"")</f>
        <v/>
      </c>
      <c r="F62" s="3">
        <f>IFERROR(IF('入力シート'!$S62="表示",'入力シート'!G62,""),"")</f>
        <v/>
      </c>
      <c r="G62" s="3">
        <f>IFERROR(IF('入力シート'!$S62="表示",'入力シート'!I62,""),"")</f>
        <v/>
      </c>
      <c r="H62" s="11">
        <f>IFERROR(IF('入力シート'!$S62="表示",'入力シート'!R62,""),"")</f>
        <v/>
      </c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</row>
    <row r="63" ht="26.75" customHeight="1">
      <c r="A63" s="11">
        <f>IFERROR(IF('入力シート'!$S63="表示",'入力シート'!A63,""),"")</f>
        <v/>
      </c>
      <c r="B63" s="11">
        <f>IFERROR(IF('入力シート'!$S63="表示",'入力シート'!B63,""),"")</f>
        <v/>
      </c>
      <c r="C63" s="11">
        <f>IFERROR(IF('入力シート'!$S63="表示",'入力シート'!D63,""),"")</f>
        <v/>
      </c>
      <c r="D63" s="3">
        <f>IFERROR(IF('入力シート'!$S63="表示",'入力シート'!E63,""),"")</f>
        <v/>
      </c>
      <c r="E63" s="11">
        <f>IFERROR(IF('入力シート'!$S63="表示",'入力シート'!F63,""),"")</f>
        <v/>
      </c>
      <c r="F63" s="3">
        <f>IFERROR(IF('入力シート'!$S63="表示",'入力シート'!G63,""),"")</f>
        <v/>
      </c>
      <c r="G63" s="3">
        <f>IFERROR(IF('入力シート'!$S63="表示",'入力シート'!I63,""),"")</f>
        <v/>
      </c>
      <c r="H63" s="11">
        <f>IFERROR(IF('入力シート'!$S63="表示",'入力シート'!R63,""),"")</f>
        <v/>
      </c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</row>
    <row r="64" ht="26.75" customHeight="1">
      <c r="A64" s="11">
        <f>IFERROR(IF('入力シート'!$S64="表示",'入力シート'!A64,""),"")</f>
        <v/>
      </c>
      <c r="B64" s="11">
        <f>IFERROR(IF('入力シート'!$S64="表示",'入力シート'!B64,""),"")</f>
        <v/>
      </c>
      <c r="C64" s="11">
        <f>IFERROR(IF('入力シート'!$S64="表示",'入力シート'!D64,""),"")</f>
        <v/>
      </c>
      <c r="D64" s="3">
        <f>IFERROR(IF('入力シート'!$S64="表示",'入力シート'!E64,""),"")</f>
        <v/>
      </c>
      <c r="E64" s="11">
        <f>IFERROR(IF('入力シート'!$S64="表示",'入力シート'!F64,""),"")</f>
        <v/>
      </c>
      <c r="F64" s="3">
        <f>IFERROR(IF('入力シート'!$S64="表示",'入力シート'!G64,""),"")</f>
        <v/>
      </c>
      <c r="G64" s="3">
        <f>IFERROR(IF('入力シート'!$S64="表示",'入力シート'!I64,""),"")</f>
        <v/>
      </c>
      <c r="H64" s="11">
        <f>IFERROR(IF('入力シート'!$S64="表示",'入力シート'!R64,""),"")</f>
        <v/>
      </c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</row>
    <row r="65" ht="26.75" customHeight="1">
      <c r="A65" s="11">
        <f>IFERROR(IF('入力シート'!$S65="表示",'入力シート'!A65,""),"")</f>
        <v/>
      </c>
      <c r="B65" s="11">
        <f>IFERROR(IF('入力シート'!$S65="表示",'入力シート'!B65,""),"")</f>
        <v/>
      </c>
      <c r="C65" s="11">
        <f>IFERROR(IF('入力シート'!$S65="表示",'入力シート'!D65,""),"")</f>
        <v/>
      </c>
      <c r="D65" s="3">
        <f>IFERROR(IF('入力シート'!$S65="表示",'入力シート'!E65,""),"")</f>
        <v/>
      </c>
      <c r="E65" s="11">
        <f>IFERROR(IF('入力シート'!$S65="表示",'入力シート'!F65,""),"")</f>
        <v/>
      </c>
      <c r="F65" s="3">
        <f>IFERROR(IF('入力シート'!$S65="表示",'入力シート'!G65,""),"")</f>
        <v/>
      </c>
      <c r="G65" s="3">
        <f>IFERROR(IF('入力シート'!$S65="表示",'入力シート'!I65,""),"")</f>
        <v/>
      </c>
      <c r="H65" s="11">
        <f>IFERROR(IF('入力シート'!$S65="表示",'入力シート'!R65,""),"")</f>
        <v/>
      </c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</row>
    <row r="66" ht="26.75" customHeight="1">
      <c r="A66" s="11">
        <f>IFERROR(IF('入力シート'!$S66="表示",'入力シート'!A66,""),"")</f>
        <v/>
      </c>
      <c r="B66" s="11">
        <f>IFERROR(IF('入力シート'!$S66="表示",'入力シート'!B66,""),"")</f>
        <v/>
      </c>
      <c r="C66" s="11">
        <f>IFERROR(IF('入力シート'!$S66="表示",'入力シート'!D66,""),"")</f>
        <v/>
      </c>
      <c r="D66" s="3">
        <f>IFERROR(IF('入力シート'!$S66="表示",'入力シート'!E66,""),"")</f>
        <v/>
      </c>
      <c r="E66" s="11">
        <f>IFERROR(IF('入力シート'!$S66="表示",'入力シート'!F66,""),"")</f>
        <v/>
      </c>
      <c r="F66" s="3">
        <f>IFERROR(IF('入力シート'!$S66="表示",'入力シート'!G66,""),"")</f>
        <v/>
      </c>
      <c r="G66" s="3">
        <f>IFERROR(IF('入力シート'!$S66="表示",'入力シート'!I66,""),"")</f>
        <v/>
      </c>
      <c r="H66" s="11">
        <f>IFERROR(IF('入力シート'!$S66="表示",'入力シート'!R66,""),"")</f>
        <v/>
      </c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</row>
    <row r="67" ht="26.75" customHeight="1">
      <c r="A67" s="11">
        <f>IFERROR(IF('入力シート'!$S67="表示",'入力シート'!A67,""),"")</f>
        <v/>
      </c>
      <c r="B67" s="11">
        <f>IFERROR(IF('入力シート'!$S67="表示",'入力シート'!B67,""),"")</f>
        <v/>
      </c>
      <c r="C67" s="11">
        <f>IFERROR(IF('入力シート'!$S67="表示",'入力シート'!D67,""),"")</f>
        <v/>
      </c>
      <c r="D67" s="3">
        <f>IFERROR(IF('入力シート'!$S67="表示",'入力シート'!E67,""),"")</f>
        <v/>
      </c>
      <c r="E67" s="11">
        <f>IFERROR(IF('入力シート'!$S67="表示",'入力シート'!F67,""),"")</f>
        <v/>
      </c>
      <c r="F67" s="3">
        <f>IFERROR(IF('入力シート'!$S67="表示",'入力シート'!G67,""),"")</f>
        <v/>
      </c>
      <c r="G67" s="3">
        <f>IFERROR(IF('入力シート'!$S67="表示",'入力シート'!I67,""),"")</f>
        <v/>
      </c>
      <c r="H67" s="11">
        <f>IFERROR(IF('入力シート'!$S67="表示",'入力シート'!R67,""),"")</f>
        <v/>
      </c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</row>
    <row r="68" ht="26.75" customHeight="1">
      <c r="A68" s="11">
        <f>IFERROR(IF('入力シート'!$S68="表示",'入力シート'!A68,""),"")</f>
        <v/>
      </c>
      <c r="B68" s="11">
        <f>IFERROR(IF('入力シート'!$S68="表示",'入力シート'!B68,""),"")</f>
        <v/>
      </c>
      <c r="C68" s="11">
        <f>IFERROR(IF('入力シート'!$S68="表示",'入力シート'!D68,""),"")</f>
        <v/>
      </c>
      <c r="D68" s="3">
        <f>IFERROR(IF('入力シート'!$S68="表示",'入力シート'!E68,""),"")</f>
        <v/>
      </c>
      <c r="E68" s="11">
        <f>IFERROR(IF('入力シート'!$S68="表示",'入力シート'!F68,""),"")</f>
        <v/>
      </c>
      <c r="F68" s="3">
        <f>IFERROR(IF('入力シート'!$S68="表示",'入力シート'!G68,""),"")</f>
        <v/>
      </c>
      <c r="G68" s="3">
        <f>IFERROR(IF('入力シート'!$S68="表示",'入力シート'!I68,""),"")</f>
        <v/>
      </c>
      <c r="H68" s="11">
        <f>IFERROR(IF('入力シート'!$S68="表示",'入力シート'!R68,""),"")</f>
        <v/>
      </c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</row>
    <row r="69" ht="26.75" customHeight="1">
      <c r="A69" s="11">
        <f>IFERROR(IF('入力シート'!$S69="表示",'入力シート'!A69,""),"")</f>
        <v/>
      </c>
      <c r="B69" s="11">
        <f>IFERROR(IF('入力シート'!$S69="表示",'入力シート'!B69,""),"")</f>
        <v/>
      </c>
      <c r="C69" s="11">
        <f>IFERROR(IF('入力シート'!$S69="表示",'入力シート'!D69,""),"")</f>
        <v/>
      </c>
      <c r="D69" s="3">
        <f>IFERROR(IF('入力シート'!$S69="表示",'入力シート'!E69,""),"")</f>
        <v/>
      </c>
      <c r="E69" s="11">
        <f>IFERROR(IF('入力シート'!$S69="表示",'入力シート'!F69,""),"")</f>
        <v/>
      </c>
      <c r="F69" s="3">
        <f>IFERROR(IF('入力シート'!$S69="表示",'入力シート'!G69,""),"")</f>
        <v/>
      </c>
      <c r="G69" s="3">
        <f>IFERROR(IF('入力シート'!$S69="表示",'入力シート'!I69,""),"")</f>
        <v/>
      </c>
      <c r="H69" s="11">
        <f>IFERROR(IF('入力シート'!$S69="表示",'入力シート'!R69,""),"")</f>
        <v/>
      </c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</row>
    <row r="70" ht="26.75" customHeight="1">
      <c r="A70" s="11">
        <f>IFERROR(IF('入力シート'!$S70="表示",'入力シート'!A70,""),"")</f>
        <v/>
      </c>
      <c r="B70" s="11">
        <f>IFERROR(IF('入力シート'!$S70="表示",'入力シート'!B70,""),"")</f>
        <v/>
      </c>
      <c r="C70" s="11">
        <f>IFERROR(IF('入力シート'!$S70="表示",'入力シート'!D70,""),"")</f>
        <v/>
      </c>
      <c r="D70" s="3">
        <f>IFERROR(IF('入力シート'!$S70="表示",'入力シート'!E70,""),"")</f>
        <v/>
      </c>
      <c r="E70" s="11">
        <f>IFERROR(IF('入力シート'!$S70="表示",'入力シート'!F70,""),"")</f>
        <v/>
      </c>
      <c r="F70" s="3">
        <f>IFERROR(IF('入力シート'!$S70="表示",'入力シート'!G70,""),"")</f>
        <v/>
      </c>
      <c r="G70" s="3">
        <f>IFERROR(IF('入力シート'!$S70="表示",'入力シート'!I70,""),"")</f>
        <v/>
      </c>
      <c r="H70" s="11">
        <f>IFERROR(IF('入力シート'!$S70="表示",'入力シート'!R70,""),"")</f>
        <v/>
      </c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</row>
    <row r="71" ht="26.75" customHeight="1">
      <c r="A71" s="11">
        <f>IFERROR(IF('入力シート'!$S71="表示",'入力シート'!A71,""),"")</f>
        <v/>
      </c>
      <c r="B71" s="11">
        <f>IFERROR(IF('入力シート'!$S71="表示",'入力シート'!B71,""),"")</f>
        <v/>
      </c>
      <c r="C71" s="11">
        <f>IFERROR(IF('入力シート'!$S71="表示",'入力シート'!D71,""),"")</f>
        <v/>
      </c>
      <c r="D71" s="3">
        <f>IFERROR(IF('入力シート'!$S71="表示",'入力シート'!E71,""),"")</f>
        <v/>
      </c>
      <c r="E71" s="11">
        <f>IFERROR(IF('入力シート'!$S71="表示",'入力シート'!F71,""),"")</f>
        <v/>
      </c>
      <c r="F71" s="3">
        <f>IFERROR(IF('入力シート'!$S71="表示",'入力シート'!G71,""),"")</f>
        <v/>
      </c>
      <c r="G71" s="3">
        <f>IFERROR(IF('入力シート'!$S71="表示",'入力シート'!I71,""),"")</f>
        <v/>
      </c>
      <c r="H71" s="11">
        <f>IFERROR(IF('入力シート'!$S71="表示",'入力シート'!R71,""),"")</f>
        <v/>
      </c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</row>
    <row r="72" ht="26.75" customHeight="1">
      <c r="A72" s="11">
        <f>IFERROR(IF('入力シート'!$S72="表示",'入力シート'!A72,""),"")</f>
        <v/>
      </c>
      <c r="B72" s="11">
        <f>IFERROR(IF('入力シート'!$S72="表示",'入力シート'!B72,""),"")</f>
        <v/>
      </c>
      <c r="C72" s="11">
        <f>IFERROR(IF('入力シート'!$S72="表示",'入力シート'!D72,""),"")</f>
        <v/>
      </c>
      <c r="D72" s="3">
        <f>IFERROR(IF('入力シート'!$S72="表示",'入力シート'!E72,""),"")</f>
        <v/>
      </c>
      <c r="E72" s="11">
        <f>IFERROR(IF('入力シート'!$S72="表示",'入力シート'!F72,""),"")</f>
        <v/>
      </c>
      <c r="F72" s="3">
        <f>IFERROR(IF('入力シート'!$S72="表示",'入力シート'!G72,""),"")</f>
        <v/>
      </c>
      <c r="G72" s="3">
        <f>IFERROR(IF('入力シート'!$S72="表示",'入力シート'!I72,""),"")</f>
        <v/>
      </c>
      <c r="H72" s="11">
        <f>IFERROR(IF('入力シート'!$S72="表示",'入力シート'!R72,""),"")</f>
        <v/>
      </c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</row>
    <row r="73" ht="26.75" customHeight="1">
      <c r="A73" s="11">
        <f>IFERROR(IF('入力シート'!$S73="表示",'入力シート'!A73,""),"")</f>
        <v/>
      </c>
      <c r="B73" s="11">
        <f>IFERROR(IF('入力シート'!$S73="表示",'入力シート'!B73,""),"")</f>
        <v/>
      </c>
      <c r="C73" s="11">
        <f>IFERROR(IF('入力シート'!$S73="表示",'入力シート'!D73,""),"")</f>
        <v/>
      </c>
      <c r="D73" s="3">
        <f>IFERROR(IF('入力シート'!$S73="表示",'入力シート'!E73,""),"")</f>
        <v/>
      </c>
      <c r="E73" s="11">
        <f>IFERROR(IF('入力シート'!$S73="表示",'入力シート'!F73,""),"")</f>
        <v/>
      </c>
      <c r="F73" s="3">
        <f>IFERROR(IF('入力シート'!$S73="表示",'入力シート'!G73,""),"")</f>
        <v/>
      </c>
      <c r="G73" s="3">
        <f>IFERROR(IF('入力シート'!$S73="表示",'入力シート'!I73,""),"")</f>
        <v/>
      </c>
      <c r="H73" s="11">
        <f>IFERROR(IF('入力シート'!$S73="表示",'入力シート'!R73,""),"")</f>
        <v/>
      </c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 ht="26.75" customHeight="1">
      <c r="A74" s="11">
        <f>IFERROR(IF('入力シート'!$S74="表示",'入力シート'!A74,""),"")</f>
        <v/>
      </c>
      <c r="B74" s="11">
        <f>IFERROR(IF('入力シート'!$S74="表示",'入力シート'!B74,""),"")</f>
        <v/>
      </c>
      <c r="C74" s="11">
        <f>IFERROR(IF('入力シート'!$S74="表示",'入力シート'!D74,""),"")</f>
        <v/>
      </c>
      <c r="D74" s="3">
        <f>IFERROR(IF('入力シート'!$S74="表示",'入力シート'!E74,""),"")</f>
        <v/>
      </c>
      <c r="E74" s="11">
        <f>IFERROR(IF('入力シート'!$S74="表示",'入力シート'!F74,""),"")</f>
        <v/>
      </c>
      <c r="F74" s="3">
        <f>IFERROR(IF('入力シート'!$S74="表示",'入力シート'!G74,""),"")</f>
        <v/>
      </c>
      <c r="G74" s="3">
        <f>IFERROR(IF('入力シート'!$S74="表示",'入力シート'!I74,""),"")</f>
        <v/>
      </c>
      <c r="H74" s="11">
        <f>IFERROR(IF('入力シート'!$S74="表示",'入力シート'!R74,""),"")</f>
        <v/>
      </c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</row>
    <row r="75" ht="26.75" customHeight="1">
      <c r="A75" s="11">
        <f>IFERROR(IF('入力シート'!$S75="表示",'入力シート'!A75,""),"")</f>
        <v/>
      </c>
      <c r="B75" s="11">
        <f>IFERROR(IF('入力シート'!$S75="表示",'入力シート'!B75,""),"")</f>
        <v/>
      </c>
      <c r="C75" s="11">
        <f>IFERROR(IF('入力シート'!$S75="表示",'入力シート'!D75,""),"")</f>
        <v/>
      </c>
      <c r="D75" s="3">
        <f>IFERROR(IF('入力シート'!$S75="表示",'入力シート'!E75,""),"")</f>
        <v/>
      </c>
      <c r="E75" s="11">
        <f>IFERROR(IF('入力シート'!$S75="表示",'入力シート'!F75,""),"")</f>
        <v/>
      </c>
      <c r="F75" s="3">
        <f>IFERROR(IF('入力シート'!$S75="表示",'入力シート'!G75,""),"")</f>
        <v/>
      </c>
      <c r="G75" s="3">
        <f>IFERROR(IF('入力シート'!$S75="表示",'入力シート'!I75,""),"")</f>
        <v/>
      </c>
      <c r="H75" s="11">
        <f>IFERROR(IF('入力シート'!$S75="表示",'入力シート'!R75,""),"")</f>
        <v/>
      </c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ht="26.75" customHeight="1">
      <c r="A76" s="11">
        <f>IFERROR(IF('入力シート'!$S76="表示",'入力シート'!A76,""),"")</f>
        <v/>
      </c>
      <c r="B76" s="11">
        <f>IFERROR(IF('入力シート'!$S76="表示",'入力シート'!B76,""),"")</f>
        <v/>
      </c>
      <c r="C76" s="11">
        <f>IFERROR(IF('入力シート'!$S76="表示",'入力シート'!D76,""),"")</f>
        <v/>
      </c>
      <c r="D76" s="3">
        <f>IFERROR(IF('入力シート'!$S76="表示",'入力シート'!E76,""),"")</f>
        <v/>
      </c>
      <c r="E76" s="11">
        <f>IFERROR(IF('入力シート'!$S76="表示",'入力シート'!F76,""),"")</f>
        <v/>
      </c>
      <c r="F76" s="3">
        <f>IFERROR(IF('入力シート'!$S76="表示",'入力シート'!G76,""),"")</f>
        <v/>
      </c>
      <c r="G76" s="3">
        <f>IFERROR(IF('入力シート'!$S76="表示",'入力シート'!I76,""),"")</f>
        <v/>
      </c>
      <c r="H76" s="11">
        <f>IFERROR(IF('入力シート'!$S76="表示",'入力シート'!R76,""),"")</f>
        <v/>
      </c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 ht="26.75" customHeight="1">
      <c r="A77" s="11">
        <f>IFERROR(IF('入力シート'!$S77="表示",'入力シート'!A77,""),"")</f>
        <v/>
      </c>
      <c r="B77" s="11">
        <f>IFERROR(IF('入力シート'!$S77="表示",'入力シート'!B77,""),"")</f>
        <v/>
      </c>
      <c r="C77" s="11">
        <f>IFERROR(IF('入力シート'!$S77="表示",'入力シート'!D77,""),"")</f>
        <v/>
      </c>
      <c r="D77" s="3">
        <f>IFERROR(IF('入力シート'!$S77="表示",'入力シート'!E77,""),"")</f>
        <v/>
      </c>
      <c r="E77" s="11">
        <f>IFERROR(IF('入力シート'!$S77="表示",'入力シート'!F77,""),"")</f>
        <v/>
      </c>
      <c r="F77" s="3">
        <f>IFERROR(IF('入力シート'!$S77="表示",'入力シート'!G77,""),"")</f>
        <v/>
      </c>
      <c r="G77" s="3">
        <f>IFERROR(IF('入力シート'!$S77="表示",'入力シート'!I77,""),"")</f>
        <v/>
      </c>
      <c r="H77" s="11">
        <f>IFERROR(IF('入力シート'!$S77="表示",'入力シート'!R77,""),"")</f>
        <v/>
      </c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</row>
    <row r="78" ht="26.75" customHeight="1">
      <c r="A78" s="11">
        <f>IFERROR(IF('入力シート'!$S78="表示",'入力シート'!A78,""),"")</f>
        <v/>
      </c>
      <c r="B78" s="11">
        <f>IFERROR(IF('入力シート'!$S78="表示",'入力シート'!B78,""),"")</f>
        <v/>
      </c>
      <c r="C78" s="11">
        <f>IFERROR(IF('入力シート'!$S78="表示",'入力シート'!D78,""),"")</f>
        <v/>
      </c>
      <c r="D78" s="3">
        <f>IFERROR(IF('入力シート'!$S78="表示",'入力シート'!E78,""),"")</f>
        <v/>
      </c>
      <c r="E78" s="11">
        <f>IFERROR(IF('入力シート'!$S78="表示",'入力シート'!F78,""),"")</f>
        <v/>
      </c>
      <c r="F78" s="3">
        <f>IFERROR(IF('入力シート'!$S78="表示",'入力シート'!G78,""),"")</f>
        <v/>
      </c>
      <c r="G78" s="3">
        <f>IFERROR(IF('入力シート'!$S78="表示",'入力シート'!I78,""),"")</f>
        <v/>
      </c>
      <c r="H78" s="11">
        <f>IFERROR(IF('入力シート'!$S78="表示",'入力シート'!R78,""),"")</f>
        <v/>
      </c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</row>
    <row r="79" ht="26.75" customHeight="1">
      <c r="A79" s="11">
        <f>IFERROR(IF('入力シート'!$S79="表示",'入力シート'!A79,""),"")</f>
        <v/>
      </c>
      <c r="B79" s="11">
        <f>IFERROR(IF('入力シート'!$S79="表示",'入力シート'!B79,""),"")</f>
        <v/>
      </c>
      <c r="C79" s="11">
        <f>IFERROR(IF('入力シート'!$S79="表示",'入力シート'!D79,""),"")</f>
        <v/>
      </c>
      <c r="D79" s="3">
        <f>IFERROR(IF('入力シート'!$S79="表示",'入力シート'!E79,""),"")</f>
        <v/>
      </c>
      <c r="E79" s="11">
        <f>IFERROR(IF('入力シート'!$S79="表示",'入力シート'!F79,""),"")</f>
        <v/>
      </c>
      <c r="F79" s="3">
        <f>IFERROR(IF('入力シート'!$S79="表示",'入力シート'!G79,""),"")</f>
        <v/>
      </c>
      <c r="G79" s="3">
        <f>IFERROR(IF('入力シート'!$S79="表示",'入力シート'!I79,""),"")</f>
        <v/>
      </c>
      <c r="H79" s="11">
        <f>IFERROR(IF('入力シート'!$S79="表示",'入力シート'!R79,""),"")</f>
        <v/>
      </c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</row>
    <row r="80" ht="26.75" customHeight="1">
      <c r="A80" s="11">
        <f>IFERROR(IF('入力シート'!$S80="表示",'入力シート'!A80,""),"")</f>
        <v/>
      </c>
      <c r="B80" s="11">
        <f>IFERROR(IF('入力シート'!$S80="表示",'入力シート'!B80,""),"")</f>
        <v/>
      </c>
      <c r="C80" s="11">
        <f>IFERROR(IF('入力シート'!$S80="表示",'入力シート'!D80,""),"")</f>
        <v/>
      </c>
      <c r="D80" s="3">
        <f>IFERROR(IF('入力シート'!$S80="表示",'入力シート'!E80,""),"")</f>
        <v/>
      </c>
      <c r="E80" s="11">
        <f>IFERROR(IF('入力シート'!$S80="表示",'入力シート'!F80,""),"")</f>
        <v/>
      </c>
      <c r="F80" s="3">
        <f>IFERROR(IF('入力シート'!$S80="表示",'入力シート'!G80,""),"")</f>
        <v/>
      </c>
      <c r="G80" s="3">
        <f>IFERROR(IF('入力シート'!$S80="表示",'入力シート'!I80,""),"")</f>
        <v/>
      </c>
      <c r="H80" s="11">
        <f>IFERROR(IF('入力シート'!$S80="表示",'入力シート'!R80,""),"")</f>
        <v/>
      </c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</row>
    <row r="81" ht="26.75" customHeight="1">
      <c r="A81" s="11">
        <f>IFERROR(IF('入力シート'!$S81="表示",'入力シート'!A81,""),"")</f>
        <v/>
      </c>
      <c r="B81" s="11">
        <f>IFERROR(IF('入力シート'!$S81="表示",'入力シート'!B81,""),"")</f>
        <v/>
      </c>
      <c r="C81" s="11">
        <f>IFERROR(IF('入力シート'!$S81="表示",'入力シート'!D81,""),"")</f>
        <v/>
      </c>
      <c r="D81" s="3">
        <f>IFERROR(IF('入力シート'!$S81="表示",'入力シート'!E81,""),"")</f>
        <v/>
      </c>
      <c r="E81" s="11">
        <f>IFERROR(IF('入力シート'!$S81="表示",'入力シート'!F81,""),"")</f>
        <v/>
      </c>
      <c r="F81" s="3">
        <f>IFERROR(IF('入力シート'!$S81="表示",'入力シート'!G81,""),"")</f>
        <v/>
      </c>
      <c r="G81" s="3">
        <f>IFERROR(IF('入力シート'!$S81="表示",'入力シート'!I81,""),"")</f>
        <v/>
      </c>
      <c r="H81" s="11">
        <f>IFERROR(IF('入力シート'!$S81="表示",'入力シート'!R81,""),"")</f>
        <v/>
      </c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</row>
    <row r="82" ht="26.75" customHeight="1">
      <c r="A82" s="11">
        <f>IFERROR(IF('入力シート'!$S82="表示",'入力シート'!A82,""),"")</f>
        <v/>
      </c>
      <c r="B82" s="11">
        <f>IFERROR(IF('入力シート'!$S82="表示",'入力シート'!B82,""),"")</f>
        <v/>
      </c>
      <c r="C82" s="11">
        <f>IFERROR(IF('入力シート'!$S82="表示",'入力シート'!D82,""),"")</f>
        <v/>
      </c>
      <c r="D82" s="3">
        <f>IFERROR(IF('入力シート'!$S82="表示",'入力シート'!E82,""),"")</f>
        <v/>
      </c>
      <c r="E82" s="11">
        <f>IFERROR(IF('入力シート'!$S82="表示",'入力シート'!F82,""),"")</f>
        <v/>
      </c>
      <c r="F82" s="3">
        <f>IFERROR(IF('入力シート'!$S82="表示",'入力シート'!G82,""),"")</f>
        <v/>
      </c>
      <c r="G82" s="3">
        <f>IFERROR(IF('入力シート'!$S82="表示",'入力シート'!I82,""),"")</f>
        <v/>
      </c>
      <c r="H82" s="11">
        <f>IFERROR(IF('入力シート'!$S82="表示",'入力シート'!R82,""),"")</f>
        <v/>
      </c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</row>
    <row r="83" ht="26.75" customHeight="1">
      <c r="A83" s="11">
        <f>IFERROR(IF('入力シート'!$S83="表示",'入力シート'!A83,""),"")</f>
        <v/>
      </c>
      <c r="B83" s="11">
        <f>IFERROR(IF('入力シート'!$S83="表示",'入力シート'!B83,""),"")</f>
        <v/>
      </c>
      <c r="C83" s="11">
        <f>IFERROR(IF('入力シート'!$S83="表示",'入力シート'!D83,""),"")</f>
        <v/>
      </c>
      <c r="D83" s="3">
        <f>IFERROR(IF('入力シート'!$S83="表示",'入力シート'!E83,""),"")</f>
        <v/>
      </c>
      <c r="E83" s="11">
        <f>IFERROR(IF('入力シート'!$S83="表示",'入力シート'!F83,""),"")</f>
        <v/>
      </c>
      <c r="F83" s="3">
        <f>IFERROR(IF('入力シート'!$S83="表示",'入力シート'!G83,""),"")</f>
        <v/>
      </c>
      <c r="G83" s="3">
        <f>IFERROR(IF('入力シート'!$S83="表示",'入力シート'!I83,""),"")</f>
        <v/>
      </c>
      <c r="H83" s="11">
        <f>IFERROR(IF('入力シート'!$S83="表示",'入力シート'!R83,""),"")</f>
        <v/>
      </c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</row>
    <row r="84" ht="26.75" customHeight="1">
      <c r="A84" s="11">
        <f>IFERROR(IF('入力シート'!$S84="表示",'入力シート'!A84,""),"")</f>
        <v/>
      </c>
      <c r="B84" s="11">
        <f>IFERROR(IF('入力シート'!$S84="表示",'入力シート'!B84,""),"")</f>
        <v/>
      </c>
      <c r="C84" s="11">
        <f>IFERROR(IF('入力シート'!$S84="表示",'入力シート'!D84,""),"")</f>
        <v/>
      </c>
      <c r="D84" s="3">
        <f>IFERROR(IF('入力シート'!$S84="表示",'入力シート'!E84,""),"")</f>
        <v/>
      </c>
      <c r="E84" s="11">
        <f>IFERROR(IF('入力シート'!$S84="表示",'入力シート'!F84,""),"")</f>
        <v/>
      </c>
      <c r="F84" s="3">
        <f>IFERROR(IF('入力シート'!$S84="表示",'入力シート'!G84,""),"")</f>
        <v/>
      </c>
      <c r="G84" s="3">
        <f>IFERROR(IF('入力シート'!$S84="表示",'入力シート'!I84,""),"")</f>
        <v/>
      </c>
      <c r="H84" s="11">
        <f>IFERROR(IF('入力シート'!$S84="表示",'入力シート'!R84,""),"")</f>
        <v/>
      </c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</row>
    <row r="85" ht="26.75" customHeight="1">
      <c r="A85" s="11">
        <f>IFERROR(IF('入力シート'!$S85="表示",'入力シート'!A85,""),"")</f>
        <v/>
      </c>
      <c r="B85" s="11">
        <f>IFERROR(IF('入力シート'!$S85="表示",'入力シート'!B85,""),"")</f>
        <v/>
      </c>
      <c r="C85" s="11">
        <f>IFERROR(IF('入力シート'!$S85="表示",'入力シート'!D85,""),"")</f>
        <v/>
      </c>
      <c r="D85" s="3">
        <f>IFERROR(IF('入力シート'!$S85="表示",'入力シート'!E85,""),"")</f>
        <v/>
      </c>
      <c r="E85" s="11">
        <f>IFERROR(IF('入力シート'!$S85="表示",'入力シート'!F85,""),"")</f>
        <v/>
      </c>
      <c r="F85" s="3">
        <f>IFERROR(IF('入力シート'!$S85="表示",'入力シート'!G85,""),"")</f>
        <v/>
      </c>
      <c r="G85" s="3">
        <f>IFERROR(IF('入力シート'!$S85="表示",'入力シート'!I85,""),"")</f>
        <v/>
      </c>
      <c r="H85" s="11">
        <f>IFERROR(IF('入力シート'!$S85="表示",'入力シート'!R85,""),"")</f>
        <v/>
      </c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</row>
    <row r="86" ht="26.75" customHeight="1">
      <c r="A86" s="11">
        <f>IFERROR(IF('入力シート'!$S86="表示",'入力シート'!A86,""),"")</f>
        <v/>
      </c>
      <c r="B86" s="11">
        <f>IFERROR(IF('入力シート'!$S86="表示",'入力シート'!B86,""),"")</f>
        <v/>
      </c>
      <c r="C86" s="11">
        <f>IFERROR(IF('入力シート'!$S86="表示",'入力シート'!D86,""),"")</f>
        <v/>
      </c>
      <c r="D86" s="3">
        <f>IFERROR(IF('入力シート'!$S86="表示",'入力シート'!E86,""),"")</f>
        <v/>
      </c>
      <c r="E86" s="11">
        <f>IFERROR(IF('入力シート'!$S86="表示",'入力シート'!F86,""),"")</f>
        <v/>
      </c>
      <c r="F86" s="3">
        <f>IFERROR(IF('入力シート'!$S86="表示",'入力シート'!G86,""),"")</f>
        <v/>
      </c>
      <c r="G86" s="3">
        <f>IFERROR(IF('入力シート'!$S86="表示",'入力シート'!I86,""),"")</f>
        <v/>
      </c>
      <c r="H86" s="11">
        <f>IFERROR(IF('入力シート'!$S86="表示",'入力シート'!R86,""),"")</f>
        <v/>
      </c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</row>
    <row r="87" ht="26.75" customHeight="1">
      <c r="A87" s="11">
        <f>IFERROR(IF('入力シート'!$S87="表示",'入力シート'!A87,""),"")</f>
        <v/>
      </c>
      <c r="B87" s="11">
        <f>IFERROR(IF('入力シート'!$S87="表示",'入力シート'!B87,""),"")</f>
        <v/>
      </c>
      <c r="C87" s="11">
        <f>IFERROR(IF('入力シート'!$S87="表示",'入力シート'!D87,""),"")</f>
        <v/>
      </c>
      <c r="D87" s="3">
        <f>IFERROR(IF('入力シート'!$S87="表示",'入力シート'!E87,""),"")</f>
        <v/>
      </c>
      <c r="E87" s="11">
        <f>IFERROR(IF('入力シート'!$S87="表示",'入力シート'!F87,""),"")</f>
        <v/>
      </c>
      <c r="F87" s="3">
        <f>IFERROR(IF('入力シート'!$S87="表示",'入力シート'!G87,""),"")</f>
        <v/>
      </c>
      <c r="G87" s="3">
        <f>IFERROR(IF('入力シート'!$S87="表示",'入力シート'!I87,""),"")</f>
        <v/>
      </c>
      <c r="H87" s="11">
        <f>IFERROR(IF('入力シート'!$S87="表示",'入力シート'!R87,""),"")</f>
        <v/>
      </c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</row>
    <row r="88" ht="26.75" customHeight="1">
      <c r="A88" s="11">
        <f>IFERROR(IF('入力シート'!$S88="表示",'入力シート'!A88,""),"")</f>
        <v/>
      </c>
      <c r="B88" s="11">
        <f>IFERROR(IF('入力シート'!$S88="表示",'入力シート'!B88,""),"")</f>
        <v/>
      </c>
      <c r="C88" s="11">
        <f>IFERROR(IF('入力シート'!$S88="表示",'入力シート'!D88,""),"")</f>
        <v/>
      </c>
      <c r="D88" s="3">
        <f>IFERROR(IF('入力シート'!$S88="表示",'入力シート'!E88,""),"")</f>
        <v/>
      </c>
      <c r="E88" s="11">
        <f>IFERROR(IF('入力シート'!$S88="表示",'入力シート'!F88,""),"")</f>
        <v/>
      </c>
      <c r="F88" s="3">
        <f>IFERROR(IF('入力シート'!$S88="表示",'入力シート'!G88,""),"")</f>
        <v/>
      </c>
      <c r="G88" s="3">
        <f>IFERROR(IF('入力シート'!$S88="表示",'入力シート'!I88,""),"")</f>
        <v/>
      </c>
      <c r="H88" s="11">
        <f>IFERROR(IF('入力シート'!$S88="表示",'入力シート'!R88,""),"")</f>
        <v/>
      </c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</row>
    <row r="89" ht="26.75" customHeight="1">
      <c r="A89" s="11">
        <f>IFERROR(IF('入力シート'!$S89="表示",'入力シート'!A89,""),"")</f>
        <v/>
      </c>
      <c r="B89" s="11">
        <f>IFERROR(IF('入力シート'!$S89="表示",'入力シート'!B89,""),"")</f>
        <v/>
      </c>
      <c r="C89" s="11">
        <f>IFERROR(IF('入力シート'!$S89="表示",'入力シート'!D89,""),"")</f>
        <v/>
      </c>
      <c r="D89" s="3">
        <f>IFERROR(IF('入力シート'!$S89="表示",'入力シート'!E89,""),"")</f>
        <v/>
      </c>
      <c r="E89" s="11">
        <f>IFERROR(IF('入力シート'!$S89="表示",'入力シート'!F89,""),"")</f>
        <v/>
      </c>
      <c r="F89" s="3">
        <f>IFERROR(IF('入力シート'!$S89="表示",'入力シート'!G89,""),"")</f>
        <v/>
      </c>
      <c r="G89" s="3">
        <f>IFERROR(IF('入力シート'!$S89="表示",'入力シート'!I89,""),"")</f>
        <v/>
      </c>
      <c r="H89" s="11">
        <f>IFERROR(IF('入力シート'!$S89="表示",'入力シート'!R89,""),"")</f>
        <v/>
      </c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</row>
    <row r="90" ht="26.75" customHeight="1">
      <c r="A90" s="11">
        <f>IFERROR(IF('入力シート'!$S90="表示",'入力シート'!A90,""),"")</f>
        <v/>
      </c>
      <c r="B90" s="11">
        <f>IFERROR(IF('入力シート'!$S90="表示",'入力シート'!B90,""),"")</f>
        <v/>
      </c>
      <c r="C90" s="11">
        <f>IFERROR(IF('入力シート'!$S90="表示",'入力シート'!D90,""),"")</f>
        <v/>
      </c>
      <c r="D90" s="3">
        <f>IFERROR(IF('入力シート'!$S90="表示",'入力シート'!E90,""),"")</f>
        <v/>
      </c>
      <c r="E90" s="11">
        <f>IFERROR(IF('入力シート'!$S90="表示",'入力シート'!F90,""),"")</f>
        <v/>
      </c>
      <c r="F90" s="3">
        <f>IFERROR(IF('入力シート'!$S90="表示",'入力シート'!G90,""),"")</f>
        <v/>
      </c>
      <c r="G90" s="3">
        <f>IFERROR(IF('入力シート'!$S90="表示",'入力シート'!I90,""),"")</f>
        <v/>
      </c>
      <c r="H90" s="11">
        <f>IFERROR(IF('入力シート'!$S90="表示",'入力シート'!R90,""),"")</f>
        <v/>
      </c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</row>
    <row r="91" ht="26.75" customHeight="1">
      <c r="A91" s="11">
        <f>IFERROR(IF('入力シート'!$S91="表示",'入力シート'!A91,""),"")</f>
        <v/>
      </c>
      <c r="B91" s="11">
        <f>IFERROR(IF('入力シート'!$S91="表示",'入力シート'!B91,""),"")</f>
        <v/>
      </c>
      <c r="C91" s="11">
        <f>IFERROR(IF('入力シート'!$S91="表示",'入力シート'!D91,""),"")</f>
        <v/>
      </c>
      <c r="D91" s="3">
        <f>IFERROR(IF('入力シート'!$S91="表示",'入力シート'!E91,""),"")</f>
        <v/>
      </c>
      <c r="E91" s="11">
        <f>IFERROR(IF('入力シート'!$S91="表示",'入力シート'!F91,""),"")</f>
        <v/>
      </c>
      <c r="F91" s="3">
        <f>IFERROR(IF('入力シート'!$S91="表示",'入力シート'!G91,""),"")</f>
        <v/>
      </c>
      <c r="G91" s="3">
        <f>IFERROR(IF('入力シート'!$S91="表示",'入力シート'!I91,""),"")</f>
        <v/>
      </c>
      <c r="H91" s="11">
        <f>IFERROR(IF('入力シート'!$S91="表示",'入力シート'!R91,""),"")</f>
        <v/>
      </c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</row>
    <row r="92" ht="26.75" customHeight="1">
      <c r="A92" s="11">
        <f>IFERROR(IF('入力シート'!$S92="表示",'入力シート'!A92,""),"")</f>
        <v/>
      </c>
      <c r="B92" s="11">
        <f>IFERROR(IF('入力シート'!$S92="表示",'入力シート'!B92,""),"")</f>
        <v/>
      </c>
      <c r="C92" s="11">
        <f>IFERROR(IF('入力シート'!$S92="表示",'入力シート'!D92,""),"")</f>
        <v/>
      </c>
      <c r="D92" s="3">
        <f>IFERROR(IF('入力シート'!$S92="表示",'入力シート'!E92,""),"")</f>
        <v/>
      </c>
      <c r="E92" s="11">
        <f>IFERROR(IF('入力シート'!$S92="表示",'入力シート'!F92,""),"")</f>
        <v/>
      </c>
      <c r="F92" s="3">
        <f>IFERROR(IF('入力シート'!$S92="表示",'入力シート'!G92,""),"")</f>
        <v/>
      </c>
      <c r="G92" s="3">
        <f>IFERROR(IF('入力シート'!$S92="表示",'入力シート'!I92,""),"")</f>
        <v/>
      </c>
      <c r="H92" s="11">
        <f>IFERROR(IF('入力シート'!$S92="表示",'入力シート'!R92,""),"")</f>
        <v/>
      </c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</row>
    <row r="93" ht="26.75" customHeight="1">
      <c r="A93" s="11">
        <f>IFERROR(IF('入力シート'!$S93="表示",'入力シート'!A93,""),"")</f>
        <v/>
      </c>
      <c r="B93" s="11">
        <f>IFERROR(IF('入力シート'!$S93="表示",'入力シート'!B93,""),"")</f>
        <v/>
      </c>
      <c r="C93" s="11">
        <f>IFERROR(IF('入力シート'!$S93="表示",'入力シート'!D93,""),"")</f>
        <v/>
      </c>
      <c r="D93" s="3">
        <f>IFERROR(IF('入力シート'!$S93="表示",'入力シート'!E93,""),"")</f>
        <v/>
      </c>
      <c r="E93" s="11">
        <f>IFERROR(IF('入力シート'!$S93="表示",'入力シート'!F93,""),"")</f>
        <v/>
      </c>
      <c r="F93" s="3">
        <f>IFERROR(IF('入力シート'!$S93="表示",'入力シート'!G93,""),"")</f>
        <v/>
      </c>
      <c r="G93" s="3">
        <f>IFERROR(IF('入力シート'!$S93="表示",'入力シート'!I93,""),"")</f>
        <v/>
      </c>
      <c r="H93" s="11">
        <f>IFERROR(IF('入力シート'!$S93="表示",'入力シート'!R93,""),"")</f>
        <v/>
      </c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</row>
    <row r="94" ht="26.75" customHeight="1">
      <c r="A94" s="11">
        <f>IFERROR(IF('入力シート'!$S94="表示",'入力シート'!A94,""),"")</f>
        <v/>
      </c>
      <c r="B94" s="11">
        <f>IFERROR(IF('入力シート'!$S94="表示",'入力シート'!B94,""),"")</f>
        <v/>
      </c>
      <c r="C94" s="11">
        <f>IFERROR(IF('入力シート'!$S94="表示",'入力シート'!D94,""),"")</f>
        <v/>
      </c>
      <c r="D94" s="3">
        <f>IFERROR(IF('入力シート'!$S94="表示",'入力シート'!E94,""),"")</f>
        <v/>
      </c>
      <c r="E94" s="11">
        <f>IFERROR(IF('入力シート'!$S94="表示",'入力シート'!F94,""),"")</f>
        <v/>
      </c>
      <c r="F94" s="3">
        <f>IFERROR(IF('入力シート'!$S94="表示",'入力シート'!G94,""),"")</f>
        <v/>
      </c>
      <c r="G94" s="3">
        <f>IFERROR(IF('入力シート'!$S94="表示",'入力シート'!I94,""),"")</f>
        <v/>
      </c>
      <c r="H94" s="11">
        <f>IFERROR(IF('入力シート'!$S94="表示",'入力シート'!R94,""),"")</f>
        <v/>
      </c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</row>
    <row r="95" ht="26.75" customHeight="1">
      <c r="A95" s="11">
        <f>IFERROR(IF('入力シート'!$S95="表示",'入力シート'!A95,""),"")</f>
        <v/>
      </c>
      <c r="B95" s="11">
        <f>IFERROR(IF('入力シート'!$S95="表示",'入力シート'!B95,""),"")</f>
        <v/>
      </c>
      <c r="C95" s="11">
        <f>IFERROR(IF('入力シート'!$S95="表示",'入力シート'!D95,""),"")</f>
        <v/>
      </c>
      <c r="D95" s="3">
        <f>IFERROR(IF('入力シート'!$S95="表示",'入力シート'!E95,""),"")</f>
        <v/>
      </c>
      <c r="E95" s="11">
        <f>IFERROR(IF('入力シート'!$S95="表示",'入力シート'!F95,""),"")</f>
        <v/>
      </c>
      <c r="F95" s="3">
        <f>IFERROR(IF('入力シート'!$S95="表示",'入力シート'!G95,""),"")</f>
        <v/>
      </c>
      <c r="G95" s="3">
        <f>IFERROR(IF('入力シート'!$S95="表示",'入力シート'!I95,""),"")</f>
        <v/>
      </c>
      <c r="H95" s="11">
        <f>IFERROR(IF('入力シート'!$S95="表示",'入力シート'!R95,""),"")</f>
        <v/>
      </c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</row>
    <row r="96" ht="26.75" customHeight="1">
      <c r="A96" s="11">
        <f>IFERROR(IF('入力シート'!$S96="表示",'入力シート'!A96,""),"")</f>
        <v/>
      </c>
      <c r="B96" s="11">
        <f>IFERROR(IF('入力シート'!$S96="表示",'入力シート'!B96,""),"")</f>
        <v/>
      </c>
      <c r="C96" s="11">
        <f>IFERROR(IF('入力シート'!$S96="表示",'入力シート'!D96,""),"")</f>
        <v/>
      </c>
      <c r="D96" s="3">
        <f>IFERROR(IF('入力シート'!$S96="表示",'入力シート'!E96,""),"")</f>
        <v/>
      </c>
      <c r="E96" s="11">
        <f>IFERROR(IF('入力シート'!$S96="表示",'入力シート'!F96,""),"")</f>
        <v/>
      </c>
      <c r="F96" s="3">
        <f>IFERROR(IF('入力シート'!$S96="表示",'入力シート'!G96,""),"")</f>
        <v/>
      </c>
      <c r="G96" s="3">
        <f>IFERROR(IF('入力シート'!$S96="表示",'入力シート'!I96,""),"")</f>
        <v/>
      </c>
      <c r="H96" s="11">
        <f>IFERROR(IF('入力シート'!$S96="表示",'入力シート'!R96,""),"")</f>
        <v/>
      </c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</row>
    <row r="97" ht="26.75" customHeight="1">
      <c r="A97" s="11">
        <f>IFERROR(IF('入力シート'!$S97="表示",'入力シート'!A97,""),"")</f>
        <v/>
      </c>
      <c r="B97" s="11">
        <f>IFERROR(IF('入力シート'!$S97="表示",'入力シート'!B97,""),"")</f>
        <v/>
      </c>
      <c r="C97" s="11">
        <f>IFERROR(IF('入力シート'!$S97="表示",'入力シート'!D97,""),"")</f>
        <v/>
      </c>
      <c r="D97" s="3">
        <f>IFERROR(IF('入力シート'!$S97="表示",'入力シート'!E97,""),"")</f>
        <v/>
      </c>
      <c r="E97" s="11">
        <f>IFERROR(IF('入力シート'!$S97="表示",'入力シート'!F97,""),"")</f>
        <v/>
      </c>
      <c r="F97" s="3">
        <f>IFERROR(IF('入力シート'!$S97="表示",'入力シート'!G97,""),"")</f>
        <v/>
      </c>
      <c r="G97" s="3">
        <f>IFERROR(IF('入力シート'!$S97="表示",'入力シート'!I97,""),"")</f>
        <v/>
      </c>
      <c r="H97" s="11">
        <f>IFERROR(IF('入力シート'!$S97="表示",'入力シート'!R97,""),"")</f>
        <v/>
      </c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</row>
    <row r="98" ht="26.75" customHeight="1">
      <c r="A98" s="11">
        <f>IFERROR(IF('入力シート'!$S98="表示",'入力シート'!A98,""),"")</f>
        <v/>
      </c>
      <c r="B98" s="11">
        <f>IFERROR(IF('入力シート'!$S98="表示",'入力シート'!B98,""),"")</f>
        <v/>
      </c>
      <c r="C98" s="11">
        <f>IFERROR(IF('入力シート'!$S98="表示",'入力シート'!D98,""),"")</f>
        <v/>
      </c>
      <c r="D98" s="3">
        <f>IFERROR(IF('入力シート'!$S98="表示",'入力シート'!E98,""),"")</f>
        <v/>
      </c>
      <c r="E98" s="11">
        <f>IFERROR(IF('入力シート'!$S98="表示",'入力シート'!F98,""),"")</f>
        <v/>
      </c>
      <c r="F98" s="3">
        <f>IFERROR(IF('入力シート'!$S98="表示",'入力シート'!G98,""),"")</f>
        <v/>
      </c>
      <c r="G98" s="3">
        <f>IFERROR(IF('入力シート'!$S98="表示",'入力シート'!I98,""),"")</f>
        <v/>
      </c>
      <c r="H98" s="11">
        <f>IFERROR(IF('入力シート'!$S98="表示",'入力シート'!R98,""),"")</f>
        <v/>
      </c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</row>
    <row r="99" ht="26.75" customHeight="1">
      <c r="A99" s="11">
        <f>IFERROR(IF('入力シート'!$S99="表示",'入力シート'!A99,""),"")</f>
        <v/>
      </c>
      <c r="B99" s="11">
        <f>IFERROR(IF('入力シート'!$S99="表示",'入力シート'!B99,""),"")</f>
        <v/>
      </c>
      <c r="C99" s="11">
        <f>IFERROR(IF('入力シート'!$S99="表示",'入力シート'!D99,""),"")</f>
        <v/>
      </c>
      <c r="D99" s="3">
        <f>IFERROR(IF('入力シート'!$S99="表示",'入力シート'!E99,""),"")</f>
        <v/>
      </c>
      <c r="E99" s="11">
        <f>IFERROR(IF('入力シート'!$S99="表示",'入力シート'!F99,""),"")</f>
        <v/>
      </c>
      <c r="F99" s="3">
        <f>IFERROR(IF('入力シート'!$S99="表示",'入力シート'!G99,""),"")</f>
        <v/>
      </c>
      <c r="G99" s="3">
        <f>IFERROR(IF('入力シート'!$S99="表示",'入力シート'!I99,""),"")</f>
        <v/>
      </c>
      <c r="H99" s="11">
        <f>IFERROR(IF('入力シート'!$S99="表示",'入力シート'!R99,""),"")</f>
        <v/>
      </c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</row>
    <row r="100" ht="26.75" customHeight="1">
      <c r="A100" s="11">
        <f>IFERROR(IF('入力シート'!$S100="表示",'入力シート'!A100,""),"")</f>
        <v/>
      </c>
      <c r="B100" s="11">
        <f>IFERROR(IF('入力シート'!$S100="表示",'入力シート'!B100,""),"")</f>
        <v/>
      </c>
      <c r="C100" s="11">
        <f>IFERROR(IF('入力シート'!$S100="表示",'入力シート'!D100,""),"")</f>
        <v/>
      </c>
      <c r="D100" s="3">
        <f>IFERROR(IF('入力シート'!$S100="表示",'入力シート'!E100,""),"")</f>
        <v/>
      </c>
      <c r="E100" s="11">
        <f>IFERROR(IF('入力シート'!$S100="表示",'入力シート'!F100,""),"")</f>
        <v/>
      </c>
      <c r="F100" s="3">
        <f>IFERROR(IF('入力シート'!$S100="表示",'入力シート'!G100,""),"")</f>
        <v/>
      </c>
      <c r="G100" s="3">
        <f>IFERROR(IF('入力シート'!$S100="表示",'入力シート'!I100,""),"")</f>
        <v/>
      </c>
      <c r="H100" s="11">
        <f>IFERROR(IF('入力シート'!$S100="表示",'入力シート'!R100,""),"")</f>
        <v/>
      </c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</row>
    <row r="101" ht="26.75" customHeight="1">
      <c r="A101" s="11">
        <f>IFERROR(IF('入力シート'!$S101="表示",'入力シート'!A101,""),"")</f>
        <v/>
      </c>
      <c r="B101" s="11">
        <f>IFERROR(IF('入力シート'!$S101="表示",'入力シート'!B101,""),"")</f>
        <v/>
      </c>
      <c r="C101" s="11">
        <f>IFERROR(IF('入力シート'!$S101="表示",'入力シート'!D101,""),"")</f>
        <v/>
      </c>
      <c r="D101" s="3">
        <f>IFERROR(IF('入力シート'!$S101="表示",'入力シート'!E101,""),"")</f>
        <v/>
      </c>
      <c r="E101" s="11">
        <f>IFERROR(IF('入力シート'!$S101="表示",'入力シート'!F101,""),"")</f>
        <v/>
      </c>
      <c r="F101" s="3">
        <f>IFERROR(IF('入力シート'!$S101="表示",'入力シート'!G101,""),"")</f>
        <v/>
      </c>
      <c r="G101" s="3">
        <f>IFERROR(IF('入力シート'!$S101="表示",'入力シート'!I101,""),"")</f>
        <v/>
      </c>
      <c r="H101" s="11">
        <f>IFERROR(IF('入力シート'!$S101="表示",'入力シート'!R101,""),"")</f>
        <v/>
      </c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</row>
    <row r="102" ht="26.75" customHeight="1">
      <c r="A102" s="11">
        <f>IFERROR(IF('入力シート'!$S102="表示",'入力シート'!A102,""),"")</f>
        <v/>
      </c>
      <c r="B102" s="11">
        <f>IFERROR(IF('入力シート'!$S102="表示",'入力シート'!B102,""),"")</f>
        <v/>
      </c>
      <c r="C102" s="11">
        <f>IFERROR(IF('入力シート'!$S102="表示",'入力シート'!D102,""),"")</f>
        <v/>
      </c>
      <c r="D102" s="3">
        <f>IFERROR(IF('入力シート'!$S102="表示",'入力シート'!E102,""),"")</f>
        <v/>
      </c>
      <c r="E102" s="11">
        <f>IFERROR(IF('入力シート'!$S102="表示",'入力シート'!F102,""),"")</f>
        <v/>
      </c>
      <c r="F102" s="3">
        <f>IFERROR(IF('入力シート'!$S102="表示",'入力シート'!G102,""),"")</f>
        <v/>
      </c>
      <c r="G102" s="3">
        <f>IFERROR(IF('入力シート'!$S102="表示",'入力シート'!I102,""),"")</f>
        <v/>
      </c>
      <c r="H102" s="11">
        <f>IFERROR(IF('入力シート'!$S102="表示",'入力シート'!R102,""),"")</f>
        <v/>
      </c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</row>
    <row r="103" ht="26.75" customHeight="1">
      <c r="A103" s="11">
        <f>IFERROR(IF('入力シート'!$S103="表示",'入力シート'!A103,""),"")</f>
        <v/>
      </c>
      <c r="B103" s="11">
        <f>IFERROR(IF('入力シート'!$S103="表示",'入力シート'!B103,""),"")</f>
        <v/>
      </c>
      <c r="C103" s="11">
        <f>IFERROR(IF('入力シート'!$S103="表示",'入力シート'!D103,""),"")</f>
        <v/>
      </c>
      <c r="D103" s="3">
        <f>IFERROR(IF('入力シート'!$S103="表示",'入力シート'!E103,""),"")</f>
        <v/>
      </c>
      <c r="E103" s="11">
        <f>IFERROR(IF('入力シート'!$S103="表示",'入力シート'!F103,""),"")</f>
        <v/>
      </c>
      <c r="F103" s="3">
        <f>IFERROR(IF('入力シート'!$S103="表示",'入力シート'!G103,""),"")</f>
        <v/>
      </c>
      <c r="G103" s="3">
        <f>IFERROR(IF('入力シート'!$S103="表示",'入力シート'!I103,""),"")</f>
        <v/>
      </c>
      <c r="H103" s="11">
        <f>IFERROR(IF('入力シート'!$S103="表示",'入力シート'!R103,""),"")</f>
        <v/>
      </c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</row>
    <row r="104" ht="26.75" customHeight="1">
      <c r="A104" s="11">
        <f>IFERROR(IF('入力シート'!$S104="表示",'入力シート'!A104,""),"")</f>
        <v/>
      </c>
      <c r="B104" s="11">
        <f>IFERROR(IF('入力シート'!$S104="表示",'入力シート'!B104,""),"")</f>
        <v/>
      </c>
      <c r="C104" s="11">
        <f>IFERROR(IF('入力シート'!$S104="表示",'入力シート'!D104,""),"")</f>
        <v/>
      </c>
      <c r="D104" s="3">
        <f>IFERROR(IF('入力シート'!$S104="表示",'入力シート'!E104,""),"")</f>
        <v/>
      </c>
      <c r="E104" s="11">
        <f>IFERROR(IF('入力シート'!$S104="表示",'入力シート'!F104,""),"")</f>
        <v/>
      </c>
      <c r="F104" s="3">
        <f>IFERROR(IF('入力シート'!$S104="表示",'入力シート'!G104,""),"")</f>
        <v/>
      </c>
      <c r="G104" s="3">
        <f>IFERROR(IF('入力シート'!$S104="表示",'入力シート'!I104,""),"")</f>
        <v/>
      </c>
      <c r="H104" s="11">
        <f>IFERROR(IF('入力シート'!$S104="表示",'入力シート'!R104,""),"")</f>
        <v/>
      </c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</row>
    <row r="105" ht="26.75" customHeight="1">
      <c r="A105" s="11">
        <f>IFERROR(IF('入力シート'!$S105="表示",'入力シート'!A105,""),"")</f>
        <v/>
      </c>
      <c r="B105" s="11">
        <f>IFERROR(IF('入力シート'!$S105="表示",'入力シート'!B105,""),"")</f>
        <v/>
      </c>
      <c r="C105" s="11">
        <f>IFERROR(IF('入力シート'!$S105="表示",'入力シート'!D105,""),"")</f>
        <v/>
      </c>
      <c r="D105" s="3">
        <f>IFERROR(IF('入力シート'!$S105="表示",'入力シート'!E105,""),"")</f>
        <v/>
      </c>
      <c r="E105" s="11">
        <f>IFERROR(IF('入力シート'!$S105="表示",'入力シート'!F105,""),"")</f>
        <v/>
      </c>
      <c r="F105" s="3">
        <f>IFERROR(IF('入力シート'!$S105="表示",'入力シート'!G105,""),"")</f>
        <v/>
      </c>
      <c r="G105" s="3">
        <f>IFERROR(IF('入力シート'!$S105="表示",'入力シート'!I105,""),"")</f>
        <v/>
      </c>
      <c r="H105" s="11">
        <f>IFERROR(IF('入力シート'!$S105="表示",'入力シート'!R105,""),"")</f>
        <v/>
      </c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</row>
    <row r="106" ht="26.75" customHeight="1">
      <c r="A106" s="11">
        <f>IFERROR(IF('入力シート'!$S106="表示",'入力シート'!A106,""),"")</f>
        <v/>
      </c>
      <c r="B106" s="11">
        <f>IFERROR(IF('入力シート'!$S106="表示",'入力シート'!B106,""),"")</f>
        <v/>
      </c>
      <c r="C106" s="11">
        <f>IFERROR(IF('入力シート'!$S106="表示",'入力シート'!D106,""),"")</f>
        <v/>
      </c>
      <c r="D106" s="3">
        <f>IFERROR(IF('入力シート'!$S106="表示",'入力シート'!E106,""),"")</f>
        <v/>
      </c>
      <c r="E106" s="11">
        <f>IFERROR(IF('入力シート'!$S106="表示",'入力シート'!F106,""),"")</f>
        <v/>
      </c>
      <c r="F106" s="3">
        <f>IFERROR(IF('入力シート'!$S106="表示",'入力シート'!G106,""),"")</f>
        <v/>
      </c>
      <c r="G106" s="3">
        <f>IFERROR(IF('入力シート'!$S106="表示",'入力シート'!I106,""),"")</f>
        <v/>
      </c>
      <c r="H106" s="11">
        <f>IFERROR(IF('入力シート'!$S106="表示",'入力シート'!R106,""),"")</f>
        <v/>
      </c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</row>
    <row r="107" ht="26.75" customHeight="1">
      <c r="A107" s="11">
        <f>IFERROR(IF('入力シート'!$S107="表示",'入力シート'!A107,""),"")</f>
        <v/>
      </c>
      <c r="B107" s="11">
        <f>IFERROR(IF('入力シート'!$S107="表示",'入力シート'!B107,""),"")</f>
        <v/>
      </c>
      <c r="C107" s="11">
        <f>IFERROR(IF('入力シート'!$S107="表示",'入力シート'!D107,""),"")</f>
        <v/>
      </c>
      <c r="D107" s="3">
        <f>IFERROR(IF('入力シート'!$S107="表示",'入力シート'!E107,""),"")</f>
        <v/>
      </c>
      <c r="E107" s="11">
        <f>IFERROR(IF('入力シート'!$S107="表示",'入力シート'!F107,""),"")</f>
        <v/>
      </c>
      <c r="F107" s="3">
        <f>IFERROR(IF('入力シート'!$S107="表示",'入力シート'!G107,""),"")</f>
        <v/>
      </c>
      <c r="G107" s="3">
        <f>IFERROR(IF('入力シート'!$S107="表示",'入力シート'!I107,""),"")</f>
        <v/>
      </c>
      <c r="H107" s="11">
        <f>IFERROR(IF('入力シート'!$S107="表示",'入力シート'!R107,""),"")</f>
        <v/>
      </c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</row>
    <row r="108" ht="26.75" customHeight="1">
      <c r="A108" s="11">
        <f>IFERROR(IF('入力シート'!$S108="表示",'入力シート'!A108,""),"")</f>
        <v/>
      </c>
      <c r="B108" s="11">
        <f>IFERROR(IF('入力シート'!$S108="表示",'入力シート'!B108,""),"")</f>
        <v/>
      </c>
      <c r="C108" s="11">
        <f>IFERROR(IF('入力シート'!$S108="表示",'入力シート'!D108,""),"")</f>
        <v/>
      </c>
      <c r="D108" s="3">
        <f>IFERROR(IF('入力シート'!$S108="表示",'入力シート'!E108,""),"")</f>
        <v/>
      </c>
      <c r="E108" s="11">
        <f>IFERROR(IF('入力シート'!$S108="表示",'入力シート'!F108,""),"")</f>
        <v/>
      </c>
      <c r="F108" s="3">
        <f>IFERROR(IF('入力シート'!$S108="表示",'入力シート'!G108,""),"")</f>
        <v/>
      </c>
      <c r="G108" s="3">
        <f>IFERROR(IF('入力シート'!$S108="表示",'入力シート'!I108,""),"")</f>
        <v/>
      </c>
      <c r="H108" s="11">
        <f>IFERROR(IF('入力シート'!$S108="表示",'入力シート'!R108,""),"")</f>
        <v/>
      </c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</row>
    <row r="109" ht="26.75" customHeight="1">
      <c r="A109" s="11">
        <f>IFERROR(IF('入力シート'!$S109="表示",'入力シート'!A109,""),"")</f>
        <v/>
      </c>
      <c r="B109" s="11">
        <f>IFERROR(IF('入力シート'!$S109="表示",'入力シート'!B109,""),"")</f>
        <v/>
      </c>
      <c r="C109" s="11">
        <f>IFERROR(IF('入力シート'!$S109="表示",'入力シート'!D109,""),"")</f>
        <v/>
      </c>
      <c r="D109" s="3">
        <f>IFERROR(IF('入力シート'!$S109="表示",'入力シート'!E109,""),"")</f>
        <v/>
      </c>
      <c r="E109" s="11">
        <f>IFERROR(IF('入力シート'!$S109="表示",'入力シート'!F109,""),"")</f>
        <v/>
      </c>
      <c r="F109" s="3">
        <f>IFERROR(IF('入力シート'!$S109="表示",'入力シート'!G109,""),"")</f>
        <v/>
      </c>
      <c r="G109" s="3">
        <f>IFERROR(IF('入力シート'!$S109="表示",'入力シート'!I109,""),"")</f>
        <v/>
      </c>
      <c r="H109" s="11">
        <f>IFERROR(IF('入力シート'!$S109="表示",'入力シート'!R109,""),"")</f>
        <v/>
      </c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</row>
    <row r="110" ht="26.75" customHeight="1">
      <c r="A110" s="11">
        <f>IFERROR(IF('入力シート'!$S110="表示",'入力シート'!A110,""),"")</f>
        <v/>
      </c>
      <c r="B110" s="11">
        <f>IFERROR(IF('入力シート'!$S110="表示",'入力シート'!B110,""),"")</f>
        <v/>
      </c>
      <c r="C110" s="11">
        <f>IFERROR(IF('入力シート'!$S110="表示",'入力シート'!D110,""),"")</f>
        <v/>
      </c>
      <c r="D110" s="3">
        <f>IFERROR(IF('入力シート'!$S110="表示",'入力シート'!E110,""),"")</f>
        <v/>
      </c>
      <c r="E110" s="11">
        <f>IFERROR(IF('入力シート'!$S110="表示",'入力シート'!F110,""),"")</f>
        <v/>
      </c>
      <c r="F110" s="3">
        <f>IFERROR(IF('入力シート'!$S110="表示",'入力シート'!G110,""),"")</f>
        <v/>
      </c>
      <c r="G110" s="3">
        <f>IFERROR(IF('入力シート'!$S110="表示",'入力シート'!I110,""),"")</f>
        <v/>
      </c>
      <c r="H110" s="11">
        <f>IFERROR(IF('入力シート'!$S110="表示",'入力シート'!R110,""),"")</f>
        <v/>
      </c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</row>
    <row r="111" ht="26.75" customHeight="1">
      <c r="A111" s="11">
        <f>IFERROR(IF('入力シート'!$S111="表示",'入力シート'!A111,""),"")</f>
        <v/>
      </c>
      <c r="B111" s="11">
        <f>IFERROR(IF('入力シート'!$S111="表示",'入力シート'!B111,""),"")</f>
        <v/>
      </c>
      <c r="C111" s="11">
        <f>IFERROR(IF('入力シート'!$S111="表示",'入力シート'!D111,""),"")</f>
        <v/>
      </c>
      <c r="D111" s="3">
        <f>IFERROR(IF('入力シート'!$S111="表示",'入力シート'!E111,""),"")</f>
        <v/>
      </c>
      <c r="E111" s="11">
        <f>IFERROR(IF('入力シート'!$S111="表示",'入力シート'!F111,""),"")</f>
        <v/>
      </c>
      <c r="F111" s="3">
        <f>IFERROR(IF('入力シート'!$S111="表示",'入力シート'!G111,""),"")</f>
        <v/>
      </c>
      <c r="G111" s="3">
        <f>IFERROR(IF('入力シート'!$S111="表示",'入力シート'!I111,""),"")</f>
        <v/>
      </c>
      <c r="H111" s="11">
        <f>IFERROR(IF('入力シート'!$S111="表示",'入力シート'!R111,""),"")</f>
        <v/>
      </c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</row>
    <row r="112" ht="26.75" customHeight="1">
      <c r="A112" s="11">
        <f>IFERROR(IF('入力シート'!$S112="表示",'入力シート'!A112,""),"")</f>
        <v/>
      </c>
      <c r="B112" s="11">
        <f>IFERROR(IF('入力シート'!$S112="表示",'入力シート'!B112,""),"")</f>
        <v/>
      </c>
      <c r="C112" s="11">
        <f>IFERROR(IF('入力シート'!$S112="表示",'入力シート'!D112,""),"")</f>
        <v/>
      </c>
      <c r="D112" s="3">
        <f>IFERROR(IF('入力シート'!$S112="表示",'入力シート'!E112,""),"")</f>
        <v/>
      </c>
      <c r="E112" s="11">
        <f>IFERROR(IF('入力シート'!$S112="表示",'入力シート'!F112,""),"")</f>
        <v/>
      </c>
      <c r="F112" s="3">
        <f>IFERROR(IF('入力シート'!$S112="表示",'入力シート'!G112,""),"")</f>
        <v/>
      </c>
      <c r="G112" s="3">
        <f>IFERROR(IF('入力シート'!$S112="表示",'入力シート'!I112,""),"")</f>
        <v/>
      </c>
      <c r="H112" s="11">
        <f>IFERROR(IF('入力シート'!$S112="表示",'入力シート'!R112,""),"")</f>
        <v/>
      </c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</row>
    <row r="113" ht="26.75" customHeight="1">
      <c r="A113" s="11">
        <f>IFERROR(IF('入力シート'!$S113="表示",'入力シート'!A113,""),"")</f>
        <v/>
      </c>
      <c r="B113" s="11">
        <f>IFERROR(IF('入力シート'!$S113="表示",'入力シート'!B113,""),"")</f>
        <v/>
      </c>
      <c r="C113" s="11">
        <f>IFERROR(IF('入力シート'!$S113="表示",'入力シート'!D113,""),"")</f>
        <v/>
      </c>
      <c r="D113" s="3">
        <f>IFERROR(IF('入力シート'!$S113="表示",'入力シート'!E113,""),"")</f>
        <v/>
      </c>
      <c r="E113" s="11">
        <f>IFERROR(IF('入力シート'!$S113="表示",'入力シート'!F113,""),"")</f>
        <v/>
      </c>
      <c r="F113" s="3">
        <f>IFERROR(IF('入力シート'!$S113="表示",'入力シート'!G113,""),"")</f>
        <v/>
      </c>
      <c r="G113" s="3">
        <f>IFERROR(IF('入力シート'!$S113="表示",'入力シート'!I113,""),"")</f>
        <v/>
      </c>
      <c r="H113" s="11">
        <f>IFERROR(IF('入力シート'!$S113="表示",'入力シート'!R113,""),"")</f>
        <v/>
      </c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</row>
    <row r="114" ht="26.75" customHeight="1">
      <c r="A114" s="11">
        <f>IFERROR(IF('入力シート'!$S114="表示",'入力シート'!A114,""),"")</f>
        <v/>
      </c>
      <c r="B114" s="11">
        <f>IFERROR(IF('入力シート'!$S114="表示",'入力シート'!B114,""),"")</f>
        <v/>
      </c>
      <c r="C114" s="11">
        <f>IFERROR(IF('入力シート'!$S114="表示",'入力シート'!D114,""),"")</f>
        <v/>
      </c>
      <c r="D114" s="3">
        <f>IFERROR(IF('入力シート'!$S114="表示",'入力シート'!E114,""),"")</f>
        <v/>
      </c>
      <c r="E114" s="11">
        <f>IFERROR(IF('入力シート'!$S114="表示",'入力シート'!F114,""),"")</f>
        <v/>
      </c>
      <c r="F114" s="3">
        <f>IFERROR(IF('入力シート'!$S114="表示",'入力シート'!G114,""),"")</f>
        <v/>
      </c>
      <c r="G114" s="3">
        <f>IFERROR(IF('入力シート'!$S114="表示",'入力シート'!I114,""),"")</f>
        <v/>
      </c>
      <c r="H114" s="11">
        <f>IFERROR(IF('入力シート'!$S114="表示",'入力シート'!R114,""),"")</f>
        <v/>
      </c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</row>
    <row r="115" ht="26.75" customHeight="1">
      <c r="A115" s="11">
        <f>IFERROR(IF('入力シート'!$S115="表示",'入力シート'!A115,""),"")</f>
        <v/>
      </c>
      <c r="B115" s="11">
        <f>IFERROR(IF('入力シート'!$S115="表示",'入力シート'!B115,""),"")</f>
        <v/>
      </c>
      <c r="C115" s="11">
        <f>IFERROR(IF('入力シート'!$S115="表示",'入力シート'!D115,""),"")</f>
        <v/>
      </c>
      <c r="D115" s="3">
        <f>IFERROR(IF('入力シート'!$S115="表示",'入力シート'!E115,""),"")</f>
        <v/>
      </c>
      <c r="E115" s="11">
        <f>IFERROR(IF('入力シート'!$S115="表示",'入力シート'!F115,""),"")</f>
        <v/>
      </c>
      <c r="F115" s="3">
        <f>IFERROR(IF('入力シート'!$S115="表示",'入力シート'!G115,""),"")</f>
        <v/>
      </c>
      <c r="G115" s="3">
        <f>IFERROR(IF('入力シート'!$S115="表示",'入力シート'!I115,""),"")</f>
        <v/>
      </c>
      <c r="H115" s="11">
        <f>IFERROR(IF('入力シート'!$S115="表示",'入力シート'!R115,""),"")</f>
        <v/>
      </c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</row>
    <row r="116" ht="26.75" customHeight="1">
      <c r="A116" s="11">
        <f>IFERROR(IF('入力シート'!$S116="表示",'入力シート'!A116,""),"")</f>
        <v/>
      </c>
      <c r="B116" s="11">
        <f>IFERROR(IF('入力シート'!$S116="表示",'入力シート'!B116,""),"")</f>
        <v/>
      </c>
      <c r="C116" s="11">
        <f>IFERROR(IF('入力シート'!$S116="表示",'入力シート'!D116,""),"")</f>
        <v/>
      </c>
      <c r="D116" s="3">
        <f>IFERROR(IF('入力シート'!$S116="表示",'入力シート'!E116,""),"")</f>
        <v/>
      </c>
      <c r="E116" s="11">
        <f>IFERROR(IF('入力シート'!$S116="表示",'入力シート'!F116,""),"")</f>
        <v/>
      </c>
      <c r="F116" s="3">
        <f>IFERROR(IF('入力シート'!$S116="表示",'入力シート'!G116,""),"")</f>
        <v/>
      </c>
      <c r="G116" s="3">
        <f>IFERROR(IF('入力シート'!$S116="表示",'入力シート'!I116,""),"")</f>
        <v/>
      </c>
      <c r="H116" s="11">
        <f>IFERROR(IF('入力シート'!$S116="表示",'入力シート'!R116,""),"")</f>
        <v/>
      </c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</row>
    <row r="117" ht="26.75" customHeight="1">
      <c r="A117" s="11">
        <f>IFERROR(IF('入力シート'!$S117="表示",'入力シート'!A117,""),"")</f>
        <v/>
      </c>
      <c r="B117" s="11">
        <f>IFERROR(IF('入力シート'!$S117="表示",'入力シート'!B117,""),"")</f>
        <v/>
      </c>
      <c r="C117" s="11">
        <f>IFERROR(IF('入力シート'!$S117="表示",'入力シート'!D117,""),"")</f>
        <v/>
      </c>
      <c r="D117" s="3">
        <f>IFERROR(IF('入力シート'!$S117="表示",'入力シート'!E117,""),"")</f>
        <v/>
      </c>
      <c r="E117" s="11">
        <f>IFERROR(IF('入力シート'!$S117="表示",'入力シート'!F117,""),"")</f>
        <v/>
      </c>
      <c r="F117" s="3">
        <f>IFERROR(IF('入力シート'!$S117="表示",'入力シート'!G117,""),"")</f>
        <v/>
      </c>
      <c r="G117" s="3">
        <f>IFERROR(IF('入力シート'!$S117="表示",'入力シート'!I117,""),"")</f>
        <v/>
      </c>
      <c r="H117" s="11">
        <f>IFERROR(IF('入力シート'!$S117="表示",'入力シート'!R117,""),"")</f>
        <v/>
      </c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</row>
    <row r="118" ht="26.75" customHeight="1">
      <c r="A118" s="11">
        <f>IFERROR(IF('入力シート'!$S118="表示",'入力シート'!A118,""),"")</f>
        <v/>
      </c>
      <c r="B118" s="11">
        <f>IFERROR(IF('入力シート'!$S118="表示",'入力シート'!B118,""),"")</f>
        <v/>
      </c>
      <c r="C118" s="11">
        <f>IFERROR(IF('入力シート'!$S118="表示",'入力シート'!D118,""),"")</f>
        <v/>
      </c>
      <c r="D118" s="3">
        <f>IFERROR(IF('入力シート'!$S118="表示",'入力シート'!E118,""),"")</f>
        <v/>
      </c>
      <c r="E118" s="11">
        <f>IFERROR(IF('入力シート'!$S118="表示",'入力シート'!F118,""),"")</f>
        <v/>
      </c>
      <c r="F118" s="3">
        <f>IFERROR(IF('入力シート'!$S118="表示",'入力シート'!G118,""),"")</f>
        <v/>
      </c>
      <c r="G118" s="3">
        <f>IFERROR(IF('入力シート'!$S118="表示",'入力シート'!I118,""),"")</f>
        <v/>
      </c>
      <c r="H118" s="11">
        <f>IFERROR(IF('入力シート'!$S118="表示",'入力シート'!R118,""),"")</f>
        <v/>
      </c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</row>
    <row r="119" ht="26.75" customHeight="1">
      <c r="A119" s="11">
        <f>IFERROR(IF('入力シート'!$S119="表示",'入力シート'!A119,""),"")</f>
        <v/>
      </c>
      <c r="B119" s="11">
        <f>IFERROR(IF('入力シート'!$S119="表示",'入力シート'!B119,""),"")</f>
        <v/>
      </c>
      <c r="C119" s="11">
        <f>IFERROR(IF('入力シート'!$S119="表示",'入力シート'!D119,""),"")</f>
        <v/>
      </c>
      <c r="D119" s="3">
        <f>IFERROR(IF('入力シート'!$S119="表示",'入力シート'!E119,""),"")</f>
        <v/>
      </c>
      <c r="E119" s="11">
        <f>IFERROR(IF('入力シート'!$S119="表示",'入力シート'!F119,""),"")</f>
        <v/>
      </c>
      <c r="F119" s="3">
        <f>IFERROR(IF('入力シート'!$S119="表示",'入力シート'!G119,""),"")</f>
        <v/>
      </c>
      <c r="G119" s="3">
        <f>IFERROR(IF('入力シート'!$S119="表示",'入力シート'!I119,""),"")</f>
        <v/>
      </c>
      <c r="H119" s="11">
        <f>IFERROR(IF('入力シート'!$S119="表示",'入力シート'!R119,""),"")</f>
        <v/>
      </c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</row>
    <row r="120" ht="26.75" customHeight="1">
      <c r="A120" s="11">
        <f>IFERROR(IF('入力シート'!$S120="表示",'入力シート'!A120,""),"")</f>
        <v/>
      </c>
      <c r="B120" s="11">
        <f>IFERROR(IF('入力シート'!$S120="表示",'入力シート'!B120,""),"")</f>
        <v/>
      </c>
      <c r="C120" s="11">
        <f>IFERROR(IF('入力シート'!$S120="表示",'入力シート'!D120,""),"")</f>
        <v/>
      </c>
      <c r="D120" s="3">
        <f>IFERROR(IF('入力シート'!$S120="表示",'入力シート'!E120,""),"")</f>
        <v/>
      </c>
      <c r="E120" s="11">
        <f>IFERROR(IF('入力シート'!$S120="表示",'入力シート'!F120,""),"")</f>
        <v/>
      </c>
      <c r="F120" s="3">
        <f>IFERROR(IF('入力シート'!$S120="表示",'入力シート'!G120,""),"")</f>
        <v/>
      </c>
      <c r="G120" s="3">
        <f>IFERROR(IF('入力シート'!$S120="表示",'入力シート'!I120,""),"")</f>
        <v/>
      </c>
      <c r="H120" s="11">
        <f>IFERROR(IF('入力シート'!$S120="表示",'入力シート'!R120,""),"")</f>
        <v/>
      </c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</row>
    <row r="121" ht="26.75" customHeight="1">
      <c r="A121" s="11">
        <f>IFERROR(IF('入力シート'!$S121="表示",'入力シート'!A121,""),"")</f>
        <v/>
      </c>
      <c r="B121" s="11">
        <f>IFERROR(IF('入力シート'!$S121="表示",'入力シート'!B121,""),"")</f>
        <v/>
      </c>
      <c r="C121" s="11">
        <f>IFERROR(IF('入力シート'!$S121="表示",'入力シート'!D121,""),"")</f>
        <v/>
      </c>
      <c r="D121" s="3">
        <f>IFERROR(IF('入力シート'!$S121="表示",'入力シート'!E121,""),"")</f>
        <v/>
      </c>
      <c r="E121" s="11">
        <f>IFERROR(IF('入力シート'!$S121="表示",'入力シート'!F121,""),"")</f>
        <v/>
      </c>
      <c r="F121" s="3">
        <f>IFERROR(IF('入力シート'!$S121="表示",'入力シート'!G121,""),"")</f>
        <v/>
      </c>
      <c r="G121" s="3">
        <f>IFERROR(IF('入力シート'!$S121="表示",'入力シート'!I121,""),"")</f>
        <v/>
      </c>
      <c r="H121" s="11">
        <f>IFERROR(IF('入力シート'!$S121="表示",'入力シート'!R121,""),"")</f>
        <v/>
      </c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</row>
    <row r="122" ht="26.75" customHeight="1">
      <c r="A122" s="11">
        <f>IFERROR(IF('入力シート'!$S122="表示",'入力シート'!A122,""),"")</f>
        <v/>
      </c>
      <c r="B122" s="11">
        <f>IFERROR(IF('入力シート'!$S122="表示",'入力シート'!B122,""),"")</f>
        <v/>
      </c>
      <c r="C122" s="11">
        <f>IFERROR(IF('入力シート'!$S122="表示",'入力シート'!D122,""),"")</f>
        <v/>
      </c>
      <c r="D122" s="3">
        <f>IFERROR(IF('入力シート'!$S122="表示",'入力シート'!E122,""),"")</f>
        <v/>
      </c>
      <c r="E122" s="11">
        <f>IFERROR(IF('入力シート'!$S122="表示",'入力シート'!F122,""),"")</f>
        <v/>
      </c>
      <c r="F122" s="3">
        <f>IFERROR(IF('入力シート'!$S122="表示",'入力シート'!G122,""),"")</f>
        <v/>
      </c>
      <c r="G122" s="3">
        <f>IFERROR(IF('入力シート'!$S122="表示",'入力シート'!I122,""),"")</f>
        <v/>
      </c>
      <c r="H122" s="11">
        <f>IFERROR(IF('入力シート'!$S122="表示",'入力シート'!R122,""),"")</f>
        <v/>
      </c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</row>
    <row r="123" ht="26.75" customHeight="1">
      <c r="A123" s="11">
        <f>IFERROR(IF('入力シート'!$S123="表示",'入力シート'!A123,""),"")</f>
        <v/>
      </c>
      <c r="B123" s="11">
        <f>IFERROR(IF('入力シート'!$S123="表示",'入力シート'!B123,""),"")</f>
        <v/>
      </c>
      <c r="C123" s="11">
        <f>IFERROR(IF('入力シート'!$S123="表示",'入力シート'!D123,""),"")</f>
        <v/>
      </c>
      <c r="D123" s="3">
        <f>IFERROR(IF('入力シート'!$S123="表示",'入力シート'!E123,""),"")</f>
        <v/>
      </c>
      <c r="E123" s="11">
        <f>IFERROR(IF('入力シート'!$S123="表示",'入力シート'!F123,""),"")</f>
        <v/>
      </c>
      <c r="F123" s="3">
        <f>IFERROR(IF('入力シート'!$S123="表示",'入力シート'!G123,""),"")</f>
        <v/>
      </c>
      <c r="G123" s="3">
        <f>IFERROR(IF('入力シート'!$S123="表示",'入力シート'!I123,""),"")</f>
        <v/>
      </c>
      <c r="H123" s="11">
        <f>IFERROR(IF('入力シート'!$S123="表示",'入力シート'!R123,""),"")</f>
        <v/>
      </c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</row>
    <row r="124" ht="26.75" customHeight="1">
      <c r="A124" s="11">
        <f>IFERROR(IF('入力シート'!$S124="表示",'入力シート'!A124,""),"")</f>
        <v/>
      </c>
      <c r="B124" s="11">
        <f>IFERROR(IF('入力シート'!$S124="表示",'入力シート'!B124,""),"")</f>
        <v/>
      </c>
      <c r="C124" s="11">
        <f>IFERROR(IF('入力シート'!$S124="表示",'入力シート'!D124,""),"")</f>
        <v/>
      </c>
      <c r="D124" s="3">
        <f>IFERROR(IF('入力シート'!$S124="表示",'入力シート'!E124,""),"")</f>
        <v/>
      </c>
      <c r="E124" s="11">
        <f>IFERROR(IF('入力シート'!$S124="表示",'入力シート'!F124,""),"")</f>
        <v/>
      </c>
      <c r="F124" s="3">
        <f>IFERROR(IF('入力シート'!$S124="表示",'入力シート'!G124,""),"")</f>
        <v/>
      </c>
      <c r="G124" s="3">
        <f>IFERROR(IF('入力シート'!$S124="表示",'入力シート'!I124,""),"")</f>
        <v/>
      </c>
      <c r="H124" s="11">
        <f>IFERROR(IF('入力シート'!$S124="表示",'入力シート'!R124,""),"")</f>
        <v/>
      </c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</row>
    <row r="125" ht="26.75" customHeight="1">
      <c r="A125" s="11">
        <f>IFERROR(IF('入力シート'!$S125="表示",'入力シート'!A125,""),"")</f>
        <v/>
      </c>
      <c r="B125" s="11">
        <f>IFERROR(IF('入力シート'!$S125="表示",'入力シート'!B125,""),"")</f>
        <v/>
      </c>
      <c r="C125" s="11">
        <f>IFERROR(IF('入力シート'!$S125="表示",'入力シート'!D125,""),"")</f>
        <v/>
      </c>
      <c r="D125" s="3">
        <f>IFERROR(IF('入力シート'!$S125="表示",'入力シート'!E125,""),"")</f>
        <v/>
      </c>
      <c r="E125" s="11">
        <f>IFERROR(IF('入力シート'!$S125="表示",'入力シート'!F125,""),"")</f>
        <v/>
      </c>
      <c r="F125" s="3">
        <f>IFERROR(IF('入力シート'!$S125="表示",'入力シート'!G125,""),"")</f>
        <v/>
      </c>
      <c r="G125" s="3">
        <f>IFERROR(IF('入力シート'!$S125="表示",'入力シート'!I125,""),"")</f>
        <v/>
      </c>
      <c r="H125" s="11">
        <f>IFERROR(IF('入力シート'!$S125="表示",'入力シート'!R125,""),"")</f>
        <v/>
      </c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</row>
    <row r="126" ht="26.75" customHeight="1">
      <c r="A126" s="11">
        <f>IFERROR(IF('入力シート'!$S126="表示",'入力シート'!A126,""),"")</f>
        <v/>
      </c>
      <c r="B126" s="11">
        <f>IFERROR(IF('入力シート'!$S126="表示",'入力シート'!B126,""),"")</f>
        <v/>
      </c>
      <c r="C126" s="11">
        <f>IFERROR(IF('入力シート'!$S126="表示",'入力シート'!D126,""),"")</f>
        <v/>
      </c>
      <c r="D126" s="3">
        <f>IFERROR(IF('入力シート'!$S126="表示",'入力シート'!E126,""),"")</f>
        <v/>
      </c>
      <c r="E126" s="11">
        <f>IFERROR(IF('入力シート'!$S126="表示",'入力シート'!F126,""),"")</f>
        <v/>
      </c>
      <c r="F126" s="3">
        <f>IFERROR(IF('入力シート'!$S126="表示",'入力シート'!G126,""),"")</f>
        <v/>
      </c>
      <c r="G126" s="3">
        <f>IFERROR(IF('入力シート'!$S126="表示",'入力シート'!I126,""),"")</f>
        <v/>
      </c>
      <c r="H126" s="11">
        <f>IFERROR(IF('入力シート'!$S126="表示",'入力シート'!R126,""),"")</f>
        <v/>
      </c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</row>
    <row r="127" ht="26.75" customHeight="1">
      <c r="A127" s="11">
        <f>IFERROR(IF('入力シート'!$S127="表示",'入力シート'!A127,""),"")</f>
        <v/>
      </c>
      <c r="B127" s="11">
        <f>IFERROR(IF('入力シート'!$S127="表示",'入力シート'!B127,""),"")</f>
        <v/>
      </c>
      <c r="C127" s="11">
        <f>IFERROR(IF('入力シート'!$S127="表示",'入力シート'!D127,""),"")</f>
        <v/>
      </c>
      <c r="D127" s="3">
        <f>IFERROR(IF('入力シート'!$S127="表示",'入力シート'!E127,""),"")</f>
        <v/>
      </c>
      <c r="E127" s="11">
        <f>IFERROR(IF('入力シート'!$S127="表示",'入力シート'!F127,""),"")</f>
        <v/>
      </c>
      <c r="F127" s="3">
        <f>IFERROR(IF('入力シート'!$S127="表示",'入力シート'!G127,""),"")</f>
        <v/>
      </c>
      <c r="G127" s="3">
        <f>IFERROR(IF('入力シート'!$S127="表示",'入力シート'!I127,""),"")</f>
        <v/>
      </c>
      <c r="H127" s="11">
        <f>IFERROR(IF('入力シート'!$S127="表示",'入力シート'!R127,""),"")</f>
        <v/>
      </c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</row>
    <row r="128" ht="26.75" customHeight="1">
      <c r="A128" s="11">
        <f>IFERROR(IF('入力シート'!$S128="表示",'入力シート'!A128,""),"")</f>
        <v/>
      </c>
      <c r="B128" s="11">
        <f>IFERROR(IF('入力シート'!$S128="表示",'入力シート'!B128,""),"")</f>
        <v/>
      </c>
      <c r="C128" s="11">
        <f>IFERROR(IF('入力シート'!$S128="表示",'入力シート'!D128,""),"")</f>
        <v/>
      </c>
      <c r="D128" s="3">
        <f>IFERROR(IF('入力シート'!$S128="表示",'入力シート'!E128,""),"")</f>
        <v/>
      </c>
      <c r="E128" s="11">
        <f>IFERROR(IF('入力シート'!$S128="表示",'入力シート'!F128,""),"")</f>
        <v/>
      </c>
      <c r="F128" s="3">
        <f>IFERROR(IF('入力シート'!$S128="表示",'入力シート'!G128,""),"")</f>
        <v/>
      </c>
      <c r="G128" s="3">
        <f>IFERROR(IF('入力シート'!$S128="表示",'入力シート'!I128,""),"")</f>
        <v/>
      </c>
      <c r="H128" s="11">
        <f>IFERROR(IF('入力シート'!$S128="表示",'入力シート'!R128,""),"")</f>
        <v/>
      </c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</row>
    <row r="129" ht="26.75" customHeight="1">
      <c r="A129" s="11">
        <f>IFERROR(IF('入力シート'!$S129="表示",'入力シート'!A129,""),"")</f>
        <v/>
      </c>
      <c r="B129" s="11">
        <f>IFERROR(IF('入力シート'!$S129="表示",'入力シート'!B129,""),"")</f>
        <v/>
      </c>
      <c r="C129" s="11">
        <f>IFERROR(IF('入力シート'!$S129="表示",'入力シート'!D129,""),"")</f>
        <v/>
      </c>
      <c r="D129" s="3">
        <f>IFERROR(IF('入力シート'!$S129="表示",'入力シート'!E129,""),"")</f>
        <v/>
      </c>
      <c r="E129" s="11">
        <f>IFERROR(IF('入力シート'!$S129="表示",'入力シート'!F129,""),"")</f>
        <v/>
      </c>
      <c r="F129" s="3">
        <f>IFERROR(IF('入力シート'!$S129="表示",'入力シート'!G129,""),"")</f>
        <v/>
      </c>
      <c r="G129" s="3">
        <f>IFERROR(IF('入力シート'!$S129="表示",'入力シート'!I129,""),"")</f>
        <v/>
      </c>
      <c r="H129" s="11">
        <f>IFERROR(IF('入力シート'!$S129="表示",'入力シート'!R129,""),"")</f>
        <v/>
      </c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</row>
    <row r="130" ht="26.75" customHeight="1">
      <c r="A130" s="11">
        <f>IFERROR(IF('入力シート'!$S130="表示",'入力シート'!A130,""),"")</f>
        <v/>
      </c>
      <c r="B130" s="11">
        <f>IFERROR(IF('入力シート'!$S130="表示",'入力シート'!B130,""),"")</f>
        <v/>
      </c>
      <c r="C130" s="11">
        <f>IFERROR(IF('入力シート'!$S130="表示",'入力シート'!D130,""),"")</f>
        <v/>
      </c>
      <c r="D130" s="3">
        <f>IFERROR(IF('入力シート'!$S130="表示",'入力シート'!E130,""),"")</f>
        <v/>
      </c>
      <c r="E130" s="11">
        <f>IFERROR(IF('入力シート'!$S130="表示",'入力シート'!F130,""),"")</f>
        <v/>
      </c>
      <c r="F130" s="3">
        <f>IFERROR(IF('入力シート'!$S130="表示",'入力シート'!G130,""),"")</f>
        <v/>
      </c>
      <c r="G130" s="3">
        <f>IFERROR(IF('入力シート'!$S130="表示",'入力シート'!I130,""),"")</f>
        <v/>
      </c>
      <c r="H130" s="11">
        <f>IFERROR(IF('入力シート'!$S130="表示",'入力シート'!R130,""),"")</f>
        <v/>
      </c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</row>
    <row r="131" ht="26.75" customHeight="1">
      <c r="A131" s="11">
        <f>IFERROR(IF('入力シート'!$S131="表示",'入力シート'!A131,""),"")</f>
        <v/>
      </c>
      <c r="B131" s="11">
        <f>IFERROR(IF('入力シート'!$S131="表示",'入力シート'!B131,""),"")</f>
        <v/>
      </c>
      <c r="C131" s="11">
        <f>IFERROR(IF('入力シート'!$S131="表示",'入力シート'!D131,""),"")</f>
        <v/>
      </c>
      <c r="D131" s="3">
        <f>IFERROR(IF('入力シート'!$S131="表示",'入力シート'!E131,""),"")</f>
        <v/>
      </c>
      <c r="E131" s="11">
        <f>IFERROR(IF('入力シート'!$S131="表示",'入力シート'!F131,""),"")</f>
        <v/>
      </c>
      <c r="F131" s="3">
        <f>IFERROR(IF('入力シート'!$S131="表示",'入力シート'!G131,""),"")</f>
        <v/>
      </c>
      <c r="G131" s="3">
        <f>IFERROR(IF('入力シート'!$S131="表示",'入力シート'!I131,""),"")</f>
        <v/>
      </c>
      <c r="H131" s="11">
        <f>IFERROR(IF('入力シート'!$S131="表示",'入力シート'!R131,""),"")</f>
        <v/>
      </c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</row>
    <row r="132" ht="26.75" customHeight="1">
      <c r="A132" s="11">
        <f>IFERROR(IF('入力シート'!$S132="表示",'入力シート'!A132,""),"")</f>
        <v/>
      </c>
      <c r="B132" s="11">
        <f>IFERROR(IF('入力シート'!$S132="表示",'入力シート'!B132,""),"")</f>
        <v/>
      </c>
      <c r="C132" s="11">
        <f>IFERROR(IF('入力シート'!$S132="表示",'入力シート'!D132,""),"")</f>
        <v/>
      </c>
      <c r="D132" s="3">
        <f>IFERROR(IF('入力シート'!$S132="表示",'入力シート'!E132,""),"")</f>
        <v/>
      </c>
      <c r="E132" s="11">
        <f>IFERROR(IF('入力シート'!$S132="表示",'入力シート'!F132,""),"")</f>
        <v/>
      </c>
      <c r="F132" s="3">
        <f>IFERROR(IF('入力シート'!$S132="表示",'入力シート'!G132,""),"")</f>
        <v/>
      </c>
      <c r="G132" s="3">
        <f>IFERROR(IF('入力シート'!$S132="表示",'入力シート'!I132,""),"")</f>
        <v/>
      </c>
      <c r="H132" s="11">
        <f>IFERROR(IF('入力シート'!$S132="表示",'入力シート'!R132,""),"")</f>
        <v/>
      </c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</row>
    <row r="133" ht="26.75" customHeight="1">
      <c r="A133" s="11">
        <f>IFERROR(IF('入力シート'!$S133="表示",'入力シート'!A133,""),"")</f>
        <v/>
      </c>
      <c r="B133" s="11">
        <f>IFERROR(IF('入力シート'!$S133="表示",'入力シート'!B133,""),"")</f>
        <v/>
      </c>
      <c r="C133" s="11">
        <f>IFERROR(IF('入力シート'!$S133="表示",'入力シート'!D133,""),"")</f>
        <v/>
      </c>
      <c r="D133" s="3">
        <f>IFERROR(IF('入力シート'!$S133="表示",'入力シート'!E133,""),"")</f>
        <v/>
      </c>
      <c r="E133" s="11">
        <f>IFERROR(IF('入力シート'!$S133="表示",'入力シート'!F133,""),"")</f>
        <v/>
      </c>
      <c r="F133" s="3">
        <f>IFERROR(IF('入力シート'!$S133="表示",'入力シート'!G133,""),"")</f>
        <v/>
      </c>
      <c r="G133" s="3">
        <f>IFERROR(IF('入力シート'!$S133="表示",'入力シート'!I133,""),"")</f>
        <v/>
      </c>
      <c r="H133" s="11">
        <f>IFERROR(IF('入力シート'!$S133="表示",'入力シート'!R133,""),"")</f>
        <v/>
      </c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</row>
    <row r="134" ht="26.75" customHeight="1">
      <c r="A134" s="11">
        <f>IFERROR(IF('入力シート'!$S134="表示",'入力シート'!A134,""),"")</f>
        <v/>
      </c>
      <c r="B134" s="11">
        <f>IFERROR(IF('入力シート'!$S134="表示",'入力シート'!B134,""),"")</f>
        <v/>
      </c>
      <c r="C134" s="11">
        <f>IFERROR(IF('入力シート'!$S134="表示",'入力シート'!D134,""),"")</f>
        <v/>
      </c>
      <c r="D134" s="3">
        <f>IFERROR(IF('入力シート'!$S134="表示",'入力シート'!E134,""),"")</f>
        <v/>
      </c>
      <c r="E134" s="11">
        <f>IFERROR(IF('入力シート'!$S134="表示",'入力シート'!F134,""),"")</f>
        <v/>
      </c>
      <c r="F134" s="3">
        <f>IFERROR(IF('入力シート'!$S134="表示",'入力シート'!G134,""),"")</f>
        <v/>
      </c>
      <c r="G134" s="3">
        <f>IFERROR(IF('入力シート'!$S134="表示",'入力シート'!I134,""),"")</f>
        <v/>
      </c>
      <c r="H134" s="11">
        <f>IFERROR(IF('入力シート'!$S134="表示",'入力シート'!R134,""),"")</f>
        <v/>
      </c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</row>
    <row r="135" ht="26.75" customHeight="1">
      <c r="A135" s="11">
        <f>IFERROR(IF('入力シート'!$S135="表示",'入力シート'!A135,""),"")</f>
        <v/>
      </c>
      <c r="B135" s="11">
        <f>IFERROR(IF('入力シート'!$S135="表示",'入力シート'!B135,""),"")</f>
        <v/>
      </c>
      <c r="C135" s="11">
        <f>IFERROR(IF('入力シート'!$S135="表示",'入力シート'!D135,""),"")</f>
        <v/>
      </c>
      <c r="D135" s="3">
        <f>IFERROR(IF('入力シート'!$S135="表示",'入力シート'!E135,""),"")</f>
        <v/>
      </c>
      <c r="E135" s="11">
        <f>IFERROR(IF('入力シート'!$S135="表示",'入力シート'!F135,""),"")</f>
        <v/>
      </c>
      <c r="F135" s="3">
        <f>IFERROR(IF('入力シート'!$S135="表示",'入力シート'!G135,""),"")</f>
        <v/>
      </c>
      <c r="G135" s="3">
        <f>IFERROR(IF('入力シート'!$S135="表示",'入力シート'!I135,""),"")</f>
        <v/>
      </c>
      <c r="H135" s="11">
        <f>IFERROR(IF('入力シート'!$S135="表示",'入力シート'!R135,""),"")</f>
        <v/>
      </c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</row>
    <row r="136" ht="26.75" customHeight="1">
      <c r="A136" s="11">
        <f>IFERROR(IF('入力シート'!$S136="表示",'入力シート'!A136,""),"")</f>
        <v/>
      </c>
      <c r="B136" s="11">
        <f>IFERROR(IF('入力シート'!$S136="表示",'入力シート'!B136,""),"")</f>
        <v/>
      </c>
      <c r="C136" s="11">
        <f>IFERROR(IF('入力シート'!$S136="表示",'入力シート'!D136,""),"")</f>
        <v/>
      </c>
      <c r="D136" s="3">
        <f>IFERROR(IF('入力シート'!$S136="表示",'入力シート'!E136,""),"")</f>
        <v/>
      </c>
      <c r="E136" s="11">
        <f>IFERROR(IF('入力シート'!$S136="表示",'入力シート'!F136,""),"")</f>
        <v/>
      </c>
      <c r="F136" s="3">
        <f>IFERROR(IF('入力シート'!$S136="表示",'入力シート'!G136,""),"")</f>
        <v/>
      </c>
      <c r="G136" s="3">
        <f>IFERROR(IF('入力シート'!$S136="表示",'入力シート'!I136,""),"")</f>
        <v/>
      </c>
      <c r="H136" s="11">
        <f>IFERROR(IF('入力シート'!$S136="表示",'入力シート'!R136,""),"")</f>
        <v/>
      </c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</row>
    <row r="137" ht="26.75" customHeight="1">
      <c r="A137" s="11">
        <f>IFERROR(IF('入力シート'!$S137="表示",'入力シート'!A137,""),"")</f>
        <v/>
      </c>
      <c r="B137" s="11">
        <f>IFERROR(IF('入力シート'!$S137="表示",'入力シート'!B137,""),"")</f>
        <v/>
      </c>
      <c r="C137" s="11">
        <f>IFERROR(IF('入力シート'!$S137="表示",'入力シート'!D137,""),"")</f>
        <v/>
      </c>
      <c r="D137" s="3">
        <f>IFERROR(IF('入力シート'!$S137="表示",'入力シート'!E137,""),"")</f>
        <v/>
      </c>
      <c r="E137" s="11">
        <f>IFERROR(IF('入力シート'!$S137="表示",'入力シート'!F137,""),"")</f>
        <v/>
      </c>
      <c r="F137" s="3">
        <f>IFERROR(IF('入力シート'!$S137="表示",'入力シート'!G137,""),"")</f>
        <v/>
      </c>
      <c r="G137" s="3">
        <f>IFERROR(IF('入力シート'!$S137="表示",'入力シート'!I137,""),"")</f>
        <v/>
      </c>
      <c r="H137" s="11">
        <f>IFERROR(IF('入力シート'!$S137="表示",'入力シート'!R137,""),"")</f>
        <v/>
      </c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</row>
    <row r="138" ht="26.75" customHeight="1">
      <c r="A138" s="11">
        <f>IFERROR(IF('入力シート'!$S138="表示",'入力シート'!A138,""),"")</f>
        <v/>
      </c>
      <c r="B138" s="11">
        <f>IFERROR(IF('入力シート'!$S138="表示",'入力シート'!B138,""),"")</f>
        <v/>
      </c>
      <c r="C138" s="11">
        <f>IFERROR(IF('入力シート'!$S138="表示",'入力シート'!D138,""),"")</f>
        <v/>
      </c>
      <c r="D138" s="3">
        <f>IFERROR(IF('入力シート'!$S138="表示",'入力シート'!E138,""),"")</f>
        <v/>
      </c>
      <c r="E138" s="11">
        <f>IFERROR(IF('入力シート'!$S138="表示",'入力シート'!F138,""),"")</f>
        <v/>
      </c>
      <c r="F138" s="3">
        <f>IFERROR(IF('入力シート'!$S138="表示",'入力シート'!G138,""),"")</f>
        <v/>
      </c>
      <c r="G138" s="3">
        <f>IFERROR(IF('入力シート'!$S138="表示",'入力シート'!I138,""),"")</f>
        <v/>
      </c>
      <c r="H138" s="11">
        <f>IFERROR(IF('入力シート'!$S138="表示",'入力シート'!R138,""),"")</f>
        <v/>
      </c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</row>
    <row r="139" ht="26.75" customHeight="1">
      <c r="A139" s="11">
        <f>IFERROR(IF('入力シート'!$S139="表示",'入力シート'!A139,""),"")</f>
        <v/>
      </c>
      <c r="B139" s="11">
        <f>IFERROR(IF('入力シート'!$S139="表示",'入力シート'!B139,""),"")</f>
        <v/>
      </c>
      <c r="C139" s="11">
        <f>IFERROR(IF('入力シート'!$S139="表示",'入力シート'!D139,""),"")</f>
        <v/>
      </c>
      <c r="D139" s="3">
        <f>IFERROR(IF('入力シート'!$S139="表示",'入力シート'!E139,""),"")</f>
        <v/>
      </c>
      <c r="E139" s="11">
        <f>IFERROR(IF('入力シート'!$S139="表示",'入力シート'!F139,""),"")</f>
        <v/>
      </c>
      <c r="F139" s="3">
        <f>IFERROR(IF('入力シート'!$S139="表示",'入力シート'!G139,""),"")</f>
        <v/>
      </c>
      <c r="G139" s="3">
        <f>IFERROR(IF('入力シート'!$S139="表示",'入力シート'!I139,""),"")</f>
        <v/>
      </c>
      <c r="H139" s="11">
        <f>IFERROR(IF('入力シート'!$S139="表示",'入力シート'!R139,""),"")</f>
        <v/>
      </c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</row>
    <row r="140" ht="26.75" customHeight="1">
      <c r="A140" s="11">
        <f>IFERROR(IF('入力シート'!$S140="表示",'入力シート'!A140,""),"")</f>
        <v/>
      </c>
      <c r="B140" s="11">
        <f>IFERROR(IF('入力シート'!$S140="表示",'入力シート'!B140,""),"")</f>
        <v/>
      </c>
      <c r="C140" s="11">
        <f>IFERROR(IF('入力シート'!$S140="表示",'入力シート'!D140,""),"")</f>
        <v/>
      </c>
      <c r="D140" s="3">
        <f>IFERROR(IF('入力シート'!$S140="表示",'入力シート'!E140,""),"")</f>
        <v/>
      </c>
      <c r="E140" s="11">
        <f>IFERROR(IF('入力シート'!$S140="表示",'入力シート'!F140,""),"")</f>
        <v/>
      </c>
      <c r="F140" s="3">
        <f>IFERROR(IF('入力シート'!$S140="表示",'入力シート'!G140,""),"")</f>
        <v/>
      </c>
      <c r="G140" s="3">
        <f>IFERROR(IF('入力シート'!$S140="表示",'入力シート'!I140,""),"")</f>
        <v/>
      </c>
      <c r="H140" s="11">
        <f>IFERROR(IF('入力シート'!$S140="表示",'入力シート'!R140,""),"")</f>
        <v/>
      </c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</row>
    <row r="141" ht="26.75" customHeight="1">
      <c r="A141" s="11">
        <f>IFERROR(IF('入力シート'!$S141="表示",'入力シート'!A141,""),"")</f>
        <v/>
      </c>
      <c r="B141" s="11">
        <f>IFERROR(IF('入力シート'!$S141="表示",'入力シート'!B141,""),"")</f>
        <v/>
      </c>
      <c r="C141" s="11">
        <f>IFERROR(IF('入力シート'!$S141="表示",'入力シート'!D141,""),"")</f>
        <v/>
      </c>
      <c r="D141" s="3">
        <f>IFERROR(IF('入力シート'!$S141="表示",'入力シート'!E141,""),"")</f>
        <v/>
      </c>
      <c r="E141" s="11">
        <f>IFERROR(IF('入力シート'!$S141="表示",'入力シート'!F141,""),"")</f>
        <v/>
      </c>
      <c r="F141" s="3">
        <f>IFERROR(IF('入力シート'!$S141="表示",'入力シート'!G141,""),"")</f>
        <v/>
      </c>
      <c r="G141" s="3">
        <f>IFERROR(IF('入力シート'!$S141="表示",'入力シート'!I141,""),"")</f>
        <v/>
      </c>
      <c r="H141" s="11">
        <f>IFERROR(IF('入力シート'!$S141="表示",'入力シート'!R141,""),"")</f>
        <v/>
      </c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</row>
    <row r="142" ht="26.75" customHeight="1">
      <c r="A142" s="11">
        <f>IFERROR(IF('入力シート'!$S142="表示",'入力シート'!A142,""),"")</f>
        <v/>
      </c>
      <c r="B142" s="11">
        <f>IFERROR(IF('入力シート'!$S142="表示",'入力シート'!B142,""),"")</f>
        <v/>
      </c>
      <c r="C142" s="11">
        <f>IFERROR(IF('入力シート'!$S142="表示",'入力シート'!D142,""),"")</f>
        <v/>
      </c>
      <c r="D142" s="3">
        <f>IFERROR(IF('入力シート'!$S142="表示",'入力シート'!E142,""),"")</f>
        <v/>
      </c>
      <c r="E142" s="11">
        <f>IFERROR(IF('入力シート'!$S142="表示",'入力シート'!F142,""),"")</f>
        <v/>
      </c>
      <c r="F142" s="3">
        <f>IFERROR(IF('入力シート'!$S142="表示",'入力シート'!G142,""),"")</f>
        <v/>
      </c>
      <c r="G142" s="3">
        <f>IFERROR(IF('入力シート'!$S142="表示",'入力シート'!I142,""),"")</f>
        <v/>
      </c>
      <c r="H142" s="11">
        <f>IFERROR(IF('入力シート'!$S142="表示",'入力シート'!R142,""),"")</f>
        <v/>
      </c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</row>
    <row r="143" ht="26.75" customHeight="1">
      <c r="A143" s="11">
        <f>IFERROR(IF('入力シート'!$S143="表示",'入力シート'!A143,""),"")</f>
        <v/>
      </c>
      <c r="B143" s="11">
        <f>IFERROR(IF('入力シート'!$S143="表示",'入力シート'!B143,""),"")</f>
        <v/>
      </c>
      <c r="C143" s="11">
        <f>IFERROR(IF('入力シート'!$S143="表示",'入力シート'!D143,""),"")</f>
        <v/>
      </c>
      <c r="D143" s="3">
        <f>IFERROR(IF('入力シート'!$S143="表示",'入力シート'!E143,""),"")</f>
        <v/>
      </c>
      <c r="E143" s="11">
        <f>IFERROR(IF('入力シート'!$S143="表示",'入力シート'!F143,""),"")</f>
        <v/>
      </c>
      <c r="F143" s="3">
        <f>IFERROR(IF('入力シート'!$S143="表示",'入力シート'!G143,""),"")</f>
        <v/>
      </c>
      <c r="G143" s="3">
        <f>IFERROR(IF('入力シート'!$S143="表示",'入力シート'!I143,""),"")</f>
        <v/>
      </c>
      <c r="H143" s="11">
        <f>IFERROR(IF('入力シート'!$S143="表示",'入力シート'!R143,""),"")</f>
        <v/>
      </c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</row>
    <row r="144" ht="26.75" customHeight="1">
      <c r="A144" s="11">
        <f>IFERROR(IF('入力シート'!$S144="表示",'入力シート'!A144,""),"")</f>
        <v/>
      </c>
      <c r="B144" s="11">
        <f>IFERROR(IF('入力シート'!$S144="表示",'入力シート'!B144,""),"")</f>
        <v/>
      </c>
      <c r="C144" s="11">
        <f>IFERROR(IF('入力シート'!$S144="表示",'入力シート'!D144,""),"")</f>
        <v/>
      </c>
      <c r="D144" s="3">
        <f>IFERROR(IF('入力シート'!$S144="表示",'入力シート'!E144,""),"")</f>
        <v/>
      </c>
      <c r="E144" s="11">
        <f>IFERROR(IF('入力シート'!$S144="表示",'入力シート'!F144,""),"")</f>
        <v/>
      </c>
      <c r="F144" s="3">
        <f>IFERROR(IF('入力シート'!$S144="表示",'入力シート'!G144,""),"")</f>
        <v/>
      </c>
      <c r="G144" s="3">
        <f>IFERROR(IF('入力シート'!$S144="表示",'入力シート'!I144,""),"")</f>
        <v/>
      </c>
      <c r="H144" s="11">
        <f>IFERROR(IF('入力シート'!$S144="表示",'入力シート'!R144,""),"")</f>
        <v/>
      </c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</row>
    <row r="145" ht="26.75" customHeight="1">
      <c r="A145" s="11">
        <f>IFERROR(IF('入力シート'!$S145="表示",'入力シート'!A145,""),"")</f>
        <v/>
      </c>
      <c r="B145" s="11">
        <f>IFERROR(IF('入力シート'!$S145="表示",'入力シート'!B145,""),"")</f>
        <v/>
      </c>
      <c r="C145" s="11">
        <f>IFERROR(IF('入力シート'!$S145="表示",'入力シート'!D145,""),"")</f>
        <v/>
      </c>
      <c r="D145" s="3">
        <f>IFERROR(IF('入力シート'!$S145="表示",'入力シート'!E145,""),"")</f>
        <v/>
      </c>
      <c r="E145" s="11">
        <f>IFERROR(IF('入力シート'!$S145="表示",'入力シート'!F145,""),"")</f>
        <v/>
      </c>
      <c r="F145" s="3">
        <f>IFERROR(IF('入力シート'!$S145="表示",'入力シート'!G145,""),"")</f>
        <v/>
      </c>
      <c r="G145" s="3">
        <f>IFERROR(IF('入力シート'!$S145="表示",'入力シート'!I145,""),"")</f>
        <v/>
      </c>
      <c r="H145" s="11">
        <f>IFERROR(IF('入力シート'!$S145="表示",'入力シート'!R145,""),"")</f>
        <v/>
      </c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</row>
    <row r="146" ht="26.75" customHeight="1">
      <c r="A146" s="11">
        <f>IFERROR(IF('入力シート'!$S146="表示",'入力シート'!A146,""),"")</f>
        <v/>
      </c>
      <c r="B146" s="11">
        <f>IFERROR(IF('入力シート'!$S146="表示",'入力シート'!B146,""),"")</f>
        <v/>
      </c>
      <c r="C146" s="11">
        <f>IFERROR(IF('入力シート'!$S146="表示",'入力シート'!D146,""),"")</f>
        <v/>
      </c>
      <c r="D146" s="3">
        <f>IFERROR(IF('入力シート'!$S146="表示",'入力シート'!E146,""),"")</f>
        <v/>
      </c>
      <c r="E146" s="11">
        <f>IFERROR(IF('入力シート'!$S146="表示",'入力シート'!F146,""),"")</f>
        <v/>
      </c>
      <c r="F146" s="3">
        <f>IFERROR(IF('入力シート'!$S146="表示",'入力シート'!G146,""),"")</f>
        <v/>
      </c>
      <c r="G146" s="3">
        <f>IFERROR(IF('入力シート'!$S146="表示",'入力シート'!I146,""),"")</f>
        <v/>
      </c>
      <c r="H146" s="11">
        <f>IFERROR(IF('入力シート'!$S146="表示",'入力シート'!R146,""),"")</f>
        <v/>
      </c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</row>
    <row r="147" ht="26.75" customHeight="1">
      <c r="A147" s="11">
        <f>IFERROR(IF('入力シート'!$S147="表示",'入力シート'!A147,""),"")</f>
        <v/>
      </c>
      <c r="B147" s="11">
        <f>IFERROR(IF('入力シート'!$S147="表示",'入力シート'!B147,""),"")</f>
        <v/>
      </c>
      <c r="C147" s="11">
        <f>IFERROR(IF('入力シート'!$S147="表示",'入力シート'!D147,""),"")</f>
        <v/>
      </c>
      <c r="D147" s="3">
        <f>IFERROR(IF('入力シート'!$S147="表示",'入力シート'!E147,""),"")</f>
        <v/>
      </c>
      <c r="E147" s="11">
        <f>IFERROR(IF('入力シート'!$S147="表示",'入力シート'!F147,""),"")</f>
        <v/>
      </c>
      <c r="F147" s="3">
        <f>IFERROR(IF('入力シート'!$S147="表示",'入力シート'!G147,""),"")</f>
        <v/>
      </c>
      <c r="G147" s="3">
        <f>IFERROR(IF('入力シート'!$S147="表示",'入力シート'!I147,""),"")</f>
        <v/>
      </c>
      <c r="H147" s="11">
        <f>IFERROR(IF('入力シート'!$S147="表示",'入力シート'!R147,""),"")</f>
        <v/>
      </c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</row>
    <row r="148" ht="26.75" customHeight="1">
      <c r="A148" s="11">
        <f>IFERROR(IF('入力シート'!$S148="表示",'入力シート'!A148,""),"")</f>
        <v/>
      </c>
      <c r="B148" s="11">
        <f>IFERROR(IF('入力シート'!$S148="表示",'入力シート'!B148,""),"")</f>
        <v/>
      </c>
      <c r="C148" s="11">
        <f>IFERROR(IF('入力シート'!$S148="表示",'入力シート'!D148,""),"")</f>
        <v/>
      </c>
      <c r="D148" s="3">
        <f>IFERROR(IF('入力シート'!$S148="表示",'入力シート'!E148,""),"")</f>
        <v/>
      </c>
      <c r="E148" s="11">
        <f>IFERROR(IF('入力シート'!$S148="表示",'入力シート'!F148,""),"")</f>
        <v/>
      </c>
      <c r="F148" s="3">
        <f>IFERROR(IF('入力シート'!$S148="表示",'入力シート'!G148,""),"")</f>
        <v/>
      </c>
      <c r="G148" s="3">
        <f>IFERROR(IF('入力シート'!$S148="表示",'入力シート'!I148,""),"")</f>
        <v/>
      </c>
      <c r="H148" s="11">
        <f>IFERROR(IF('入力シート'!$S148="表示",'入力シート'!R148,""),"")</f>
        <v/>
      </c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</row>
    <row r="149" ht="26.75" customHeight="1">
      <c r="A149" s="11">
        <f>IFERROR(IF('入力シート'!$S149="表示",'入力シート'!A149,""),"")</f>
        <v/>
      </c>
      <c r="B149" s="11">
        <f>IFERROR(IF('入力シート'!$S149="表示",'入力シート'!B149,""),"")</f>
        <v/>
      </c>
      <c r="C149" s="11">
        <f>IFERROR(IF('入力シート'!$S149="表示",'入力シート'!D149,""),"")</f>
        <v/>
      </c>
      <c r="D149" s="3">
        <f>IFERROR(IF('入力シート'!$S149="表示",'入力シート'!E149,""),"")</f>
        <v/>
      </c>
      <c r="E149" s="11">
        <f>IFERROR(IF('入力シート'!$S149="表示",'入力シート'!F149,""),"")</f>
        <v/>
      </c>
      <c r="F149" s="3">
        <f>IFERROR(IF('入力シート'!$S149="表示",'入力シート'!G149,""),"")</f>
        <v/>
      </c>
      <c r="G149" s="3">
        <f>IFERROR(IF('入力シート'!$S149="表示",'入力シート'!I149,""),"")</f>
        <v/>
      </c>
      <c r="H149" s="11">
        <f>IFERROR(IF('入力シート'!$S149="表示",'入力シート'!R149,""),"")</f>
        <v/>
      </c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</row>
    <row r="150" ht="26.75" customHeight="1">
      <c r="A150" s="11">
        <f>IFERROR(IF('入力シート'!$S150="表示",'入力シート'!A150,""),"")</f>
        <v/>
      </c>
      <c r="B150" s="11">
        <f>IFERROR(IF('入力シート'!$S150="表示",'入力シート'!B150,""),"")</f>
        <v/>
      </c>
      <c r="C150" s="11">
        <f>IFERROR(IF('入力シート'!$S150="表示",'入力シート'!D150,""),"")</f>
        <v/>
      </c>
      <c r="D150" s="3">
        <f>IFERROR(IF('入力シート'!$S150="表示",'入力シート'!E150,""),"")</f>
        <v/>
      </c>
      <c r="E150" s="11">
        <f>IFERROR(IF('入力シート'!$S150="表示",'入力シート'!F150,""),"")</f>
        <v/>
      </c>
      <c r="F150" s="3">
        <f>IFERROR(IF('入力シート'!$S150="表示",'入力シート'!G150,""),"")</f>
        <v/>
      </c>
      <c r="G150" s="3">
        <f>IFERROR(IF('入力シート'!$S150="表示",'入力シート'!I150,""),"")</f>
        <v/>
      </c>
      <c r="H150" s="11">
        <f>IFERROR(IF('入力シート'!$S150="表示",'入力シート'!R150,""),"")</f>
        <v/>
      </c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</row>
    <row r="151" ht="26.75" customHeight="1">
      <c r="A151" s="11">
        <f>IFERROR(IF('入力シート'!$S151="表示",'入力シート'!A151,""),"")</f>
        <v/>
      </c>
      <c r="B151" s="11">
        <f>IFERROR(IF('入力シート'!$S151="表示",'入力シート'!B151,""),"")</f>
        <v/>
      </c>
      <c r="C151" s="11">
        <f>IFERROR(IF('入力シート'!$S151="表示",'入力シート'!D151,""),"")</f>
        <v/>
      </c>
      <c r="D151" s="3">
        <f>IFERROR(IF('入力シート'!$S151="表示",'入力シート'!E151,""),"")</f>
        <v/>
      </c>
      <c r="E151" s="11">
        <f>IFERROR(IF('入力シート'!$S151="表示",'入力シート'!F151,""),"")</f>
        <v/>
      </c>
      <c r="F151" s="3">
        <f>IFERROR(IF('入力シート'!$S151="表示",'入力シート'!G151,""),"")</f>
        <v/>
      </c>
      <c r="G151" s="3">
        <f>IFERROR(IF('入力シート'!$S151="表示",'入力シート'!I151,""),"")</f>
        <v/>
      </c>
      <c r="H151" s="11">
        <f>IFERROR(IF('入力シート'!$S151="表示",'入力シート'!R151,""),"")</f>
        <v/>
      </c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</row>
    <row r="152" ht="26.75" customHeight="1">
      <c r="A152" s="11">
        <f>IFERROR(IF('入力シート'!$S152="表示",'入力シート'!A152,""),"")</f>
        <v/>
      </c>
      <c r="B152" s="11">
        <f>IFERROR(IF('入力シート'!$S152="表示",'入力シート'!B152,""),"")</f>
        <v/>
      </c>
      <c r="C152" s="11">
        <f>IFERROR(IF('入力シート'!$S152="表示",'入力シート'!D152,""),"")</f>
        <v/>
      </c>
      <c r="D152" s="3">
        <f>IFERROR(IF('入力シート'!$S152="表示",'入力シート'!E152,""),"")</f>
        <v/>
      </c>
      <c r="E152" s="11">
        <f>IFERROR(IF('入力シート'!$S152="表示",'入力シート'!F152,""),"")</f>
        <v/>
      </c>
      <c r="F152" s="3">
        <f>IFERROR(IF('入力シート'!$S152="表示",'入力シート'!G152,""),"")</f>
        <v/>
      </c>
      <c r="G152" s="3">
        <f>IFERROR(IF('入力シート'!$S152="表示",'入力シート'!I152,""),"")</f>
        <v/>
      </c>
      <c r="H152" s="11">
        <f>IFERROR(IF('入力シート'!$S152="表示",'入力シート'!R152,""),"")</f>
        <v/>
      </c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</row>
    <row r="153" ht="26.75" customHeight="1">
      <c r="A153" s="11">
        <f>IFERROR(IF('入力シート'!$S153="表示",'入力シート'!A153,""),"")</f>
        <v/>
      </c>
      <c r="B153" s="11">
        <f>IFERROR(IF('入力シート'!$S153="表示",'入力シート'!B153,""),"")</f>
        <v/>
      </c>
      <c r="C153" s="11">
        <f>IFERROR(IF('入力シート'!$S153="表示",'入力シート'!D153,""),"")</f>
        <v/>
      </c>
      <c r="D153" s="3">
        <f>IFERROR(IF('入力シート'!$S153="表示",'入力シート'!E153,""),"")</f>
        <v/>
      </c>
      <c r="E153" s="11">
        <f>IFERROR(IF('入力シート'!$S153="表示",'入力シート'!F153,""),"")</f>
        <v/>
      </c>
      <c r="F153" s="3">
        <f>IFERROR(IF('入力シート'!$S153="表示",'入力シート'!G153,""),"")</f>
        <v/>
      </c>
      <c r="G153" s="3">
        <f>IFERROR(IF('入力シート'!$S153="表示",'入力シート'!I153,""),"")</f>
        <v/>
      </c>
      <c r="H153" s="11">
        <f>IFERROR(IF('入力シート'!$S153="表示",'入力シート'!R153,""),"")</f>
        <v/>
      </c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</row>
    <row r="154" ht="26.75" customHeight="1">
      <c r="A154" s="11">
        <f>IFERROR(IF('入力シート'!$S154="表示",'入力シート'!A154,""),"")</f>
        <v/>
      </c>
      <c r="B154" s="11">
        <f>IFERROR(IF('入力シート'!$S154="表示",'入力シート'!B154,""),"")</f>
        <v/>
      </c>
      <c r="C154" s="11">
        <f>IFERROR(IF('入力シート'!$S154="表示",'入力シート'!D154,""),"")</f>
        <v/>
      </c>
      <c r="D154" s="3">
        <f>IFERROR(IF('入力シート'!$S154="表示",'入力シート'!E154,""),"")</f>
        <v/>
      </c>
      <c r="E154" s="11">
        <f>IFERROR(IF('入力シート'!$S154="表示",'入力シート'!F154,""),"")</f>
        <v/>
      </c>
      <c r="F154" s="3">
        <f>IFERROR(IF('入力シート'!$S154="表示",'入力シート'!G154,""),"")</f>
        <v/>
      </c>
      <c r="G154" s="3">
        <f>IFERROR(IF('入力シート'!$S154="表示",'入力シート'!I154,""),"")</f>
        <v/>
      </c>
      <c r="H154" s="11">
        <f>IFERROR(IF('入力シート'!$S154="表示",'入力シート'!R154,""),"")</f>
        <v/>
      </c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</row>
    <row r="155" ht="26.75" customHeight="1">
      <c r="A155" s="11">
        <f>IFERROR(IF('入力シート'!$S155="表示",'入力シート'!A155,""),"")</f>
        <v/>
      </c>
      <c r="B155" s="11">
        <f>IFERROR(IF('入力シート'!$S155="表示",'入力シート'!B155,""),"")</f>
        <v/>
      </c>
      <c r="C155" s="11">
        <f>IFERROR(IF('入力シート'!$S155="表示",'入力シート'!D155,""),"")</f>
        <v/>
      </c>
      <c r="D155" s="3">
        <f>IFERROR(IF('入力シート'!$S155="表示",'入力シート'!E155,""),"")</f>
        <v/>
      </c>
      <c r="E155" s="11">
        <f>IFERROR(IF('入力シート'!$S155="表示",'入力シート'!F155,""),"")</f>
        <v/>
      </c>
      <c r="F155" s="3">
        <f>IFERROR(IF('入力シート'!$S155="表示",'入力シート'!G155,""),"")</f>
        <v/>
      </c>
      <c r="G155" s="3">
        <f>IFERROR(IF('入力シート'!$S155="表示",'入力シート'!I155,""),"")</f>
        <v/>
      </c>
      <c r="H155" s="11">
        <f>IFERROR(IF('入力シート'!$S155="表示",'入力シート'!R155,""),"")</f>
        <v/>
      </c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</row>
    <row r="156" ht="26.75" customHeight="1">
      <c r="A156" s="11">
        <f>IFERROR(IF('入力シート'!$S156="表示",'入力シート'!A156,""),"")</f>
        <v/>
      </c>
      <c r="B156" s="11">
        <f>IFERROR(IF('入力シート'!$S156="表示",'入力シート'!B156,""),"")</f>
        <v/>
      </c>
      <c r="C156" s="11">
        <f>IFERROR(IF('入力シート'!$S156="表示",'入力シート'!D156,""),"")</f>
        <v/>
      </c>
      <c r="D156" s="3">
        <f>IFERROR(IF('入力シート'!$S156="表示",'入力シート'!E156,""),"")</f>
        <v/>
      </c>
      <c r="E156" s="11">
        <f>IFERROR(IF('入力シート'!$S156="表示",'入力シート'!F156,""),"")</f>
        <v/>
      </c>
      <c r="F156" s="3">
        <f>IFERROR(IF('入力シート'!$S156="表示",'入力シート'!G156,""),"")</f>
        <v/>
      </c>
      <c r="G156" s="3">
        <f>IFERROR(IF('入力シート'!$S156="表示",'入力シート'!I156,""),"")</f>
        <v/>
      </c>
      <c r="H156" s="11">
        <f>IFERROR(IF('入力シート'!$S156="表示",'入力シート'!R156,""),"")</f>
        <v/>
      </c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</row>
    <row r="157" ht="26.75" customHeight="1">
      <c r="A157" s="11">
        <f>IFERROR(IF('入力シート'!$S157="表示",'入力シート'!A157,""),"")</f>
        <v/>
      </c>
      <c r="B157" s="11">
        <f>IFERROR(IF('入力シート'!$S157="表示",'入力シート'!B157,""),"")</f>
        <v/>
      </c>
      <c r="C157" s="11">
        <f>IFERROR(IF('入力シート'!$S157="表示",'入力シート'!D157,""),"")</f>
        <v/>
      </c>
      <c r="D157" s="3">
        <f>IFERROR(IF('入力シート'!$S157="表示",'入力シート'!E157,""),"")</f>
        <v/>
      </c>
      <c r="E157" s="11">
        <f>IFERROR(IF('入力シート'!$S157="表示",'入力シート'!F157,""),"")</f>
        <v/>
      </c>
      <c r="F157" s="3">
        <f>IFERROR(IF('入力シート'!$S157="表示",'入力シート'!G157,""),"")</f>
        <v/>
      </c>
      <c r="G157" s="3">
        <f>IFERROR(IF('入力シート'!$S157="表示",'入力シート'!I157,""),"")</f>
        <v/>
      </c>
      <c r="H157" s="11">
        <f>IFERROR(IF('入力シート'!$S157="表示",'入力シート'!R157,""),"")</f>
        <v/>
      </c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</row>
    <row r="158" ht="26.75" customHeight="1">
      <c r="A158" s="11">
        <f>IFERROR(IF('入力シート'!$S158="表示",'入力シート'!A158,""),"")</f>
        <v/>
      </c>
      <c r="B158" s="11">
        <f>IFERROR(IF('入力シート'!$S158="表示",'入力シート'!B158,""),"")</f>
        <v/>
      </c>
      <c r="C158" s="11">
        <f>IFERROR(IF('入力シート'!$S158="表示",'入力シート'!D158,""),"")</f>
        <v/>
      </c>
      <c r="D158" s="3">
        <f>IFERROR(IF('入力シート'!$S158="表示",'入力シート'!E158,""),"")</f>
        <v/>
      </c>
      <c r="E158" s="11">
        <f>IFERROR(IF('入力シート'!$S158="表示",'入力シート'!F158,""),"")</f>
        <v/>
      </c>
      <c r="F158" s="3">
        <f>IFERROR(IF('入力シート'!$S158="表示",'入力シート'!G158,""),"")</f>
        <v/>
      </c>
      <c r="G158" s="3">
        <f>IFERROR(IF('入力シート'!$S158="表示",'入力シート'!I158,""),"")</f>
        <v/>
      </c>
      <c r="H158" s="11">
        <f>IFERROR(IF('入力シート'!$S158="表示",'入力シート'!R158,""),"")</f>
        <v/>
      </c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</row>
    <row r="159" ht="26.75" customHeight="1">
      <c r="A159" s="11">
        <f>IFERROR(IF('入力シート'!$S159="表示",'入力シート'!A159,""),"")</f>
        <v/>
      </c>
      <c r="B159" s="11">
        <f>IFERROR(IF('入力シート'!$S159="表示",'入力シート'!B159,""),"")</f>
        <v/>
      </c>
      <c r="C159" s="11">
        <f>IFERROR(IF('入力シート'!$S159="表示",'入力シート'!D159,""),"")</f>
        <v/>
      </c>
      <c r="D159" s="3">
        <f>IFERROR(IF('入力シート'!$S159="表示",'入力シート'!E159,""),"")</f>
        <v/>
      </c>
      <c r="E159" s="11">
        <f>IFERROR(IF('入力シート'!$S159="表示",'入力シート'!F159,""),"")</f>
        <v/>
      </c>
      <c r="F159" s="3">
        <f>IFERROR(IF('入力シート'!$S159="表示",'入力シート'!G159,""),"")</f>
        <v/>
      </c>
      <c r="G159" s="3">
        <f>IFERROR(IF('入力シート'!$S159="表示",'入力シート'!I159,""),"")</f>
        <v/>
      </c>
      <c r="H159" s="11">
        <f>IFERROR(IF('入力シート'!$S159="表示",'入力シート'!R159,""),"")</f>
        <v/>
      </c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</row>
    <row r="160" ht="26.75" customHeight="1">
      <c r="A160" s="11">
        <f>IFERROR(IF('入力シート'!$S160="表示",'入力シート'!A160,""),"")</f>
        <v/>
      </c>
      <c r="B160" s="11">
        <f>IFERROR(IF('入力シート'!$S160="表示",'入力シート'!B160,""),"")</f>
        <v/>
      </c>
      <c r="C160" s="11">
        <f>IFERROR(IF('入力シート'!$S160="表示",'入力シート'!D160,""),"")</f>
        <v/>
      </c>
      <c r="D160" s="3">
        <f>IFERROR(IF('入力シート'!$S160="表示",'入力シート'!E160,""),"")</f>
        <v/>
      </c>
      <c r="E160" s="11">
        <f>IFERROR(IF('入力シート'!$S160="表示",'入力シート'!F160,""),"")</f>
        <v/>
      </c>
      <c r="F160" s="3">
        <f>IFERROR(IF('入力シート'!$S160="表示",'入力シート'!G160,""),"")</f>
        <v/>
      </c>
      <c r="G160" s="3">
        <f>IFERROR(IF('入力シート'!$S160="表示",'入力シート'!I160,""),"")</f>
        <v/>
      </c>
      <c r="H160" s="11">
        <f>IFERROR(IF('入力シート'!$S160="表示",'入力シート'!R160,""),"")</f>
        <v/>
      </c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</row>
    <row r="161" ht="26.75" customHeight="1">
      <c r="A161" s="11">
        <f>IFERROR(IF('入力シート'!$S161="表示",'入力シート'!A161,""),"")</f>
        <v/>
      </c>
      <c r="B161" s="11">
        <f>IFERROR(IF('入力シート'!$S161="表示",'入力シート'!B161,""),"")</f>
        <v/>
      </c>
      <c r="C161" s="11">
        <f>IFERROR(IF('入力シート'!$S161="表示",'入力シート'!D161,""),"")</f>
        <v/>
      </c>
      <c r="D161" s="3">
        <f>IFERROR(IF('入力シート'!$S161="表示",'入力シート'!E161,""),"")</f>
        <v/>
      </c>
      <c r="E161" s="11">
        <f>IFERROR(IF('入力シート'!$S161="表示",'入力シート'!F161,""),"")</f>
        <v/>
      </c>
      <c r="F161" s="3">
        <f>IFERROR(IF('入力シート'!$S161="表示",'入力シート'!G161,""),"")</f>
        <v/>
      </c>
      <c r="G161" s="3">
        <f>IFERROR(IF('入力シート'!$S161="表示",'入力シート'!I161,""),"")</f>
        <v/>
      </c>
      <c r="H161" s="11">
        <f>IFERROR(IF('入力シート'!$S161="表示",'入力シート'!R161,""),"")</f>
        <v/>
      </c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</row>
    <row r="162" ht="26.75" customHeight="1">
      <c r="A162" s="11">
        <f>IFERROR(IF('入力シート'!$S162="表示",'入力シート'!A162,""),"")</f>
        <v/>
      </c>
      <c r="B162" s="11">
        <f>IFERROR(IF('入力シート'!$S162="表示",'入力シート'!B162,""),"")</f>
        <v/>
      </c>
      <c r="C162" s="11">
        <f>IFERROR(IF('入力シート'!$S162="表示",'入力シート'!D162,""),"")</f>
        <v/>
      </c>
      <c r="D162" s="3">
        <f>IFERROR(IF('入力シート'!$S162="表示",'入力シート'!E162,""),"")</f>
        <v/>
      </c>
      <c r="E162" s="11">
        <f>IFERROR(IF('入力シート'!$S162="表示",'入力シート'!F162,""),"")</f>
        <v/>
      </c>
      <c r="F162" s="3">
        <f>IFERROR(IF('入力シート'!$S162="表示",'入力シート'!G162,""),"")</f>
        <v/>
      </c>
      <c r="G162" s="3">
        <f>IFERROR(IF('入力シート'!$S162="表示",'入力シート'!I162,""),"")</f>
        <v/>
      </c>
      <c r="H162" s="11">
        <f>IFERROR(IF('入力シート'!$S162="表示",'入力シート'!R162,""),"")</f>
        <v/>
      </c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</row>
    <row r="163" ht="26.75" customHeight="1">
      <c r="A163" s="11">
        <f>IFERROR(IF('入力シート'!$S163="表示",'入力シート'!A163,""),"")</f>
        <v/>
      </c>
      <c r="B163" s="11">
        <f>IFERROR(IF('入力シート'!$S163="表示",'入力シート'!B163,""),"")</f>
        <v/>
      </c>
      <c r="C163" s="11">
        <f>IFERROR(IF('入力シート'!$S163="表示",'入力シート'!D163,""),"")</f>
        <v/>
      </c>
      <c r="D163" s="3">
        <f>IFERROR(IF('入力シート'!$S163="表示",'入力シート'!E163,""),"")</f>
        <v/>
      </c>
      <c r="E163" s="11">
        <f>IFERROR(IF('入力シート'!$S163="表示",'入力シート'!F163,""),"")</f>
        <v/>
      </c>
      <c r="F163" s="3">
        <f>IFERROR(IF('入力シート'!$S163="表示",'入力シート'!G163,""),"")</f>
        <v/>
      </c>
      <c r="G163" s="3">
        <f>IFERROR(IF('入力シート'!$S163="表示",'入力シート'!I163,""),"")</f>
        <v/>
      </c>
      <c r="H163" s="11">
        <f>IFERROR(IF('入力シート'!$S163="表示",'入力シート'!R163,""),"")</f>
        <v/>
      </c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</row>
    <row r="164" ht="26.75" customHeight="1">
      <c r="A164" s="11">
        <f>IFERROR(IF('入力シート'!$S164="表示",'入力シート'!A164,""),"")</f>
        <v/>
      </c>
      <c r="B164" s="11">
        <f>IFERROR(IF('入力シート'!$S164="表示",'入力シート'!B164,""),"")</f>
        <v/>
      </c>
      <c r="C164" s="11">
        <f>IFERROR(IF('入力シート'!$S164="表示",'入力シート'!D164,""),"")</f>
        <v/>
      </c>
      <c r="D164" s="3">
        <f>IFERROR(IF('入力シート'!$S164="表示",'入力シート'!E164,""),"")</f>
        <v/>
      </c>
      <c r="E164" s="11">
        <f>IFERROR(IF('入力シート'!$S164="表示",'入力シート'!F164,""),"")</f>
        <v/>
      </c>
      <c r="F164" s="3">
        <f>IFERROR(IF('入力シート'!$S164="表示",'入力シート'!G164,""),"")</f>
        <v/>
      </c>
      <c r="G164" s="3">
        <f>IFERROR(IF('入力シート'!$S164="表示",'入力シート'!I164,""),"")</f>
        <v/>
      </c>
      <c r="H164" s="11">
        <f>IFERROR(IF('入力シート'!$S164="表示",'入力シート'!R164,""),"")</f>
        <v/>
      </c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</row>
    <row r="165" ht="26.75" customHeight="1">
      <c r="A165" s="11">
        <f>IFERROR(IF('入力シート'!$S165="表示",'入力シート'!A165,""),"")</f>
        <v/>
      </c>
      <c r="B165" s="11">
        <f>IFERROR(IF('入力シート'!$S165="表示",'入力シート'!B165,""),"")</f>
        <v/>
      </c>
      <c r="C165" s="11">
        <f>IFERROR(IF('入力シート'!$S165="表示",'入力シート'!D165,""),"")</f>
        <v/>
      </c>
      <c r="D165" s="3">
        <f>IFERROR(IF('入力シート'!$S165="表示",'入力シート'!E165,""),"")</f>
        <v/>
      </c>
      <c r="E165" s="11">
        <f>IFERROR(IF('入力シート'!$S165="表示",'入力シート'!F165,""),"")</f>
        <v/>
      </c>
      <c r="F165" s="3">
        <f>IFERROR(IF('入力シート'!$S165="表示",'入力シート'!G165,""),"")</f>
        <v/>
      </c>
      <c r="G165" s="3">
        <f>IFERROR(IF('入力シート'!$S165="表示",'入力シート'!I165,""),"")</f>
        <v/>
      </c>
      <c r="H165" s="11">
        <f>IFERROR(IF('入力シート'!$S165="表示",'入力シート'!R165,""),"")</f>
        <v/>
      </c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</row>
    <row r="166" ht="26.75" customHeight="1">
      <c r="A166" s="11">
        <f>IFERROR(IF('入力シート'!$S166="表示",'入力シート'!A166,""),"")</f>
        <v/>
      </c>
      <c r="B166" s="11">
        <f>IFERROR(IF('入力シート'!$S166="表示",'入力シート'!B166,""),"")</f>
        <v/>
      </c>
      <c r="C166" s="11">
        <f>IFERROR(IF('入力シート'!$S166="表示",'入力シート'!D166,""),"")</f>
        <v/>
      </c>
      <c r="D166" s="3">
        <f>IFERROR(IF('入力シート'!$S166="表示",'入力シート'!E166,""),"")</f>
        <v/>
      </c>
      <c r="E166" s="11">
        <f>IFERROR(IF('入力シート'!$S166="表示",'入力シート'!F166,""),"")</f>
        <v/>
      </c>
      <c r="F166" s="3">
        <f>IFERROR(IF('入力シート'!$S166="表示",'入力シート'!G166,""),"")</f>
        <v/>
      </c>
      <c r="G166" s="3">
        <f>IFERROR(IF('入力シート'!$S166="表示",'入力シート'!I166,""),"")</f>
        <v/>
      </c>
      <c r="H166" s="11">
        <f>IFERROR(IF('入力シート'!$S166="表示",'入力シート'!R166,""),"")</f>
        <v/>
      </c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</row>
    <row r="167" ht="26.75" customHeight="1">
      <c r="A167" s="11">
        <f>IFERROR(IF('入力シート'!$S167="表示",'入力シート'!A167,""),"")</f>
        <v/>
      </c>
      <c r="B167" s="11">
        <f>IFERROR(IF('入力シート'!$S167="表示",'入力シート'!B167,""),"")</f>
        <v/>
      </c>
      <c r="C167" s="11">
        <f>IFERROR(IF('入力シート'!$S167="表示",'入力シート'!D167,""),"")</f>
        <v/>
      </c>
      <c r="D167" s="3">
        <f>IFERROR(IF('入力シート'!$S167="表示",'入力シート'!E167,""),"")</f>
        <v/>
      </c>
      <c r="E167" s="11">
        <f>IFERROR(IF('入力シート'!$S167="表示",'入力シート'!F167,""),"")</f>
        <v/>
      </c>
      <c r="F167" s="3">
        <f>IFERROR(IF('入力シート'!$S167="表示",'入力シート'!G167,""),"")</f>
        <v/>
      </c>
      <c r="G167" s="3">
        <f>IFERROR(IF('入力シート'!$S167="表示",'入力シート'!I167,""),"")</f>
        <v/>
      </c>
      <c r="H167" s="11">
        <f>IFERROR(IF('入力シート'!$S167="表示",'入力シート'!R167,""),"")</f>
        <v/>
      </c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</row>
    <row r="168" ht="26.75" customHeight="1">
      <c r="A168" s="11">
        <f>IFERROR(IF('入力シート'!$S168="表示",'入力シート'!A168,""),"")</f>
        <v/>
      </c>
      <c r="B168" s="11">
        <f>IFERROR(IF('入力シート'!$S168="表示",'入力シート'!B168,""),"")</f>
        <v/>
      </c>
      <c r="C168" s="11">
        <f>IFERROR(IF('入力シート'!$S168="表示",'入力シート'!D168,""),"")</f>
        <v/>
      </c>
      <c r="D168" s="3">
        <f>IFERROR(IF('入力シート'!$S168="表示",'入力シート'!E168,""),"")</f>
        <v/>
      </c>
      <c r="E168" s="11">
        <f>IFERROR(IF('入力シート'!$S168="表示",'入力シート'!F168,""),"")</f>
        <v/>
      </c>
      <c r="F168" s="3">
        <f>IFERROR(IF('入力シート'!$S168="表示",'入力シート'!G168,""),"")</f>
        <v/>
      </c>
      <c r="G168" s="3">
        <f>IFERROR(IF('入力シート'!$S168="表示",'入力シート'!I168,""),"")</f>
        <v/>
      </c>
      <c r="H168" s="11">
        <f>IFERROR(IF('入力シート'!$S168="表示",'入力シート'!R168,""),"")</f>
        <v/>
      </c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</row>
    <row r="169" ht="26.75" customHeight="1">
      <c r="A169" s="11">
        <f>IFERROR(IF('入力シート'!$S169="表示",'入力シート'!A169,""),"")</f>
        <v/>
      </c>
      <c r="B169" s="11">
        <f>IFERROR(IF('入力シート'!$S169="表示",'入力シート'!B169,""),"")</f>
        <v/>
      </c>
      <c r="C169" s="11">
        <f>IFERROR(IF('入力シート'!$S169="表示",'入力シート'!D169,""),"")</f>
        <v/>
      </c>
      <c r="D169" s="3">
        <f>IFERROR(IF('入力シート'!$S169="表示",'入力シート'!E169,""),"")</f>
        <v/>
      </c>
      <c r="E169" s="11">
        <f>IFERROR(IF('入力シート'!$S169="表示",'入力シート'!F169,""),"")</f>
        <v/>
      </c>
      <c r="F169" s="3">
        <f>IFERROR(IF('入力シート'!$S169="表示",'入力シート'!G169,""),"")</f>
        <v/>
      </c>
      <c r="G169" s="3">
        <f>IFERROR(IF('入力シート'!$S169="表示",'入力シート'!I169,""),"")</f>
        <v/>
      </c>
      <c r="H169" s="11">
        <f>IFERROR(IF('入力シート'!$S169="表示",'入力シート'!R169,""),"")</f>
        <v/>
      </c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</row>
    <row r="170" ht="26.75" customHeight="1">
      <c r="A170" s="11">
        <f>IFERROR(IF('入力シート'!$S170="表示",'入力シート'!A170,""),"")</f>
        <v/>
      </c>
      <c r="B170" s="11">
        <f>IFERROR(IF('入力シート'!$S170="表示",'入力シート'!B170,""),"")</f>
        <v/>
      </c>
      <c r="C170" s="11">
        <f>IFERROR(IF('入力シート'!$S170="表示",'入力シート'!D170,""),"")</f>
        <v/>
      </c>
      <c r="D170" s="3">
        <f>IFERROR(IF('入力シート'!$S170="表示",'入力シート'!E170,""),"")</f>
        <v/>
      </c>
      <c r="E170" s="11">
        <f>IFERROR(IF('入力シート'!$S170="表示",'入力シート'!F170,""),"")</f>
        <v/>
      </c>
      <c r="F170" s="3">
        <f>IFERROR(IF('入力シート'!$S170="表示",'入力シート'!G170,""),"")</f>
        <v/>
      </c>
      <c r="G170" s="3">
        <f>IFERROR(IF('入力シート'!$S170="表示",'入力シート'!I170,""),"")</f>
        <v/>
      </c>
      <c r="H170" s="11">
        <f>IFERROR(IF('入力シート'!$S170="表示",'入力シート'!R170,""),"")</f>
        <v/>
      </c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</row>
    <row r="171" ht="26.75" customHeight="1">
      <c r="A171" s="11">
        <f>IFERROR(IF('入力シート'!$S171="表示",'入力シート'!A171,""),"")</f>
        <v/>
      </c>
      <c r="B171" s="11">
        <f>IFERROR(IF('入力シート'!$S171="表示",'入力シート'!B171,""),"")</f>
        <v/>
      </c>
      <c r="C171" s="11">
        <f>IFERROR(IF('入力シート'!$S171="表示",'入力シート'!D171,""),"")</f>
        <v/>
      </c>
      <c r="D171" s="3">
        <f>IFERROR(IF('入力シート'!$S171="表示",'入力シート'!E171,""),"")</f>
        <v/>
      </c>
      <c r="E171" s="11">
        <f>IFERROR(IF('入力シート'!$S171="表示",'入力シート'!F171,""),"")</f>
        <v/>
      </c>
      <c r="F171" s="3">
        <f>IFERROR(IF('入力シート'!$S171="表示",'入力シート'!G171,""),"")</f>
        <v/>
      </c>
      <c r="G171" s="3">
        <f>IFERROR(IF('入力シート'!$S171="表示",'入力シート'!I171,""),"")</f>
        <v/>
      </c>
      <c r="H171" s="11">
        <f>IFERROR(IF('入力シート'!$S171="表示",'入力シート'!R171,""),"")</f>
        <v/>
      </c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</row>
    <row r="172" ht="26.75" customHeight="1">
      <c r="A172" s="11">
        <f>IFERROR(IF('入力シート'!$S172="表示",'入力シート'!A172,""),"")</f>
        <v/>
      </c>
      <c r="B172" s="11">
        <f>IFERROR(IF('入力シート'!$S172="表示",'入力シート'!B172,""),"")</f>
        <v/>
      </c>
      <c r="C172" s="11">
        <f>IFERROR(IF('入力シート'!$S172="表示",'入力シート'!D172,""),"")</f>
        <v/>
      </c>
      <c r="D172" s="3">
        <f>IFERROR(IF('入力シート'!$S172="表示",'入力シート'!E172,""),"")</f>
        <v/>
      </c>
      <c r="E172" s="11">
        <f>IFERROR(IF('入力シート'!$S172="表示",'入力シート'!F172,""),"")</f>
        <v/>
      </c>
      <c r="F172" s="3">
        <f>IFERROR(IF('入力シート'!$S172="表示",'入力シート'!G172,""),"")</f>
        <v/>
      </c>
      <c r="G172" s="3">
        <f>IFERROR(IF('入力シート'!$S172="表示",'入力シート'!I172,""),"")</f>
        <v/>
      </c>
      <c r="H172" s="11">
        <f>IFERROR(IF('入力シート'!$S172="表示",'入力シート'!R172,""),"")</f>
        <v/>
      </c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</row>
    <row r="173" ht="26.75" customHeight="1">
      <c r="A173" s="11">
        <f>IFERROR(IF('入力シート'!$S173="表示",'入力シート'!A173,""),"")</f>
        <v/>
      </c>
      <c r="B173" s="11">
        <f>IFERROR(IF('入力シート'!$S173="表示",'入力シート'!B173,""),"")</f>
        <v/>
      </c>
      <c r="C173" s="11">
        <f>IFERROR(IF('入力シート'!$S173="表示",'入力シート'!D173,""),"")</f>
        <v/>
      </c>
      <c r="D173" s="3">
        <f>IFERROR(IF('入力シート'!$S173="表示",'入力シート'!E173,""),"")</f>
        <v/>
      </c>
      <c r="E173" s="11">
        <f>IFERROR(IF('入力シート'!$S173="表示",'入力シート'!F173,""),"")</f>
        <v/>
      </c>
      <c r="F173" s="3">
        <f>IFERROR(IF('入力シート'!$S173="表示",'入力シート'!G173,""),"")</f>
        <v/>
      </c>
      <c r="G173" s="3">
        <f>IFERROR(IF('入力シート'!$S173="表示",'入力シート'!I173,""),"")</f>
        <v/>
      </c>
      <c r="H173" s="11">
        <f>IFERROR(IF('入力シート'!$S173="表示",'入力シート'!R173,""),"")</f>
        <v/>
      </c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</row>
    <row r="174" ht="26.75" customHeight="1">
      <c r="A174" s="11">
        <f>IFERROR(IF('入力シート'!$S174="表示",'入力シート'!A174,""),"")</f>
        <v/>
      </c>
      <c r="B174" s="11">
        <f>IFERROR(IF('入力シート'!$S174="表示",'入力シート'!B174,""),"")</f>
        <v/>
      </c>
      <c r="C174" s="11">
        <f>IFERROR(IF('入力シート'!$S174="表示",'入力シート'!D174,""),"")</f>
        <v/>
      </c>
      <c r="D174" s="3">
        <f>IFERROR(IF('入力シート'!$S174="表示",'入力シート'!E174,""),"")</f>
        <v/>
      </c>
      <c r="E174" s="11">
        <f>IFERROR(IF('入力シート'!$S174="表示",'入力シート'!F174,""),"")</f>
        <v/>
      </c>
      <c r="F174" s="3">
        <f>IFERROR(IF('入力シート'!$S174="表示",'入力シート'!G174,""),"")</f>
        <v/>
      </c>
      <c r="G174" s="3">
        <f>IFERROR(IF('入力シート'!$S174="表示",'入力シート'!I174,""),"")</f>
        <v/>
      </c>
      <c r="H174" s="11">
        <f>IFERROR(IF('入力シート'!$S174="表示",'入力シート'!R174,""),"")</f>
        <v/>
      </c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</row>
    <row r="175" ht="26.75" customHeight="1">
      <c r="A175" s="11">
        <f>IFERROR(IF('入力シート'!$S175="表示",'入力シート'!A175,""),"")</f>
        <v/>
      </c>
      <c r="B175" s="11">
        <f>IFERROR(IF('入力シート'!$S175="表示",'入力シート'!B175,""),"")</f>
        <v/>
      </c>
      <c r="C175" s="11">
        <f>IFERROR(IF('入力シート'!$S175="表示",'入力シート'!D175,""),"")</f>
        <v/>
      </c>
      <c r="D175" s="3">
        <f>IFERROR(IF('入力シート'!$S175="表示",'入力シート'!E175,""),"")</f>
        <v/>
      </c>
      <c r="E175" s="11">
        <f>IFERROR(IF('入力シート'!$S175="表示",'入力シート'!F175,""),"")</f>
        <v/>
      </c>
      <c r="F175" s="3">
        <f>IFERROR(IF('入力シート'!$S175="表示",'入力シート'!G175,""),"")</f>
        <v/>
      </c>
      <c r="G175" s="3">
        <f>IFERROR(IF('入力シート'!$S175="表示",'入力シート'!I175,""),"")</f>
        <v/>
      </c>
      <c r="H175" s="11">
        <f>IFERROR(IF('入力シート'!$S175="表示",'入力シート'!R175,""),"")</f>
        <v/>
      </c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</row>
    <row r="176" ht="26.75" customHeight="1">
      <c r="A176" s="11">
        <f>IFERROR(IF('入力シート'!$S176="表示",'入力シート'!A176,""),"")</f>
        <v/>
      </c>
      <c r="B176" s="11">
        <f>IFERROR(IF('入力シート'!$S176="表示",'入力シート'!B176,""),"")</f>
        <v/>
      </c>
      <c r="C176" s="11">
        <f>IFERROR(IF('入力シート'!$S176="表示",'入力シート'!D176,""),"")</f>
        <v/>
      </c>
      <c r="D176" s="3">
        <f>IFERROR(IF('入力シート'!$S176="表示",'入力シート'!E176,""),"")</f>
        <v/>
      </c>
      <c r="E176" s="11">
        <f>IFERROR(IF('入力シート'!$S176="表示",'入力シート'!F176,""),"")</f>
        <v/>
      </c>
      <c r="F176" s="3">
        <f>IFERROR(IF('入力シート'!$S176="表示",'入力シート'!G176,""),"")</f>
        <v/>
      </c>
      <c r="G176" s="3">
        <f>IFERROR(IF('入力シート'!$S176="表示",'入力シート'!I176,""),"")</f>
        <v/>
      </c>
      <c r="H176" s="11">
        <f>IFERROR(IF('入力シート'!$S176="表示",'入力シート'!R176,""),"")</f>
        <v/>
      </c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</row>
    <row r="177" ht="26.75" customHeight="1">
      <c r="A177" s="11">
        <f>IFERROR(IF('入力シート'!$S177="表示",'入力シート'!A177,""),"")</f>
        <v/>
      </c>
      <c r="B177" s="11">
        <f>IFERROR(IF('入力シート'!$S177="表示",'入力シート'!B177,""),"")</f>
        <v/>
      </c>
      <c r="C177" s="11">
        <f>IFERROR(IF('入力シート'!$S177="表示",'入力シート'!D177,""),"")</f>
        <v/>
      </c>
      <c r="D177" s="3">
        <f>IFERROR(IF('入力シート'!$S177="表示",'入力シート'!E177,""),"")</f>
        <v/>
      </c>
      <c r="E177" s="11">
        <f>IFERROR(IF('入力シート'!$S177="表示",'入力シート'!F177,""),"")</f>
        <v/>
      </c>
      <c r="F177" s="3">
        <f>IFERROR(IF('入力シート'!$S177="表示",'入力シート'!G177,""),"")</f>
        <v/>
      </c>
      <c r="G177" s="3">
        <f>IFERROR(IF('入力シート'!$S177="表示",'入力シート'!I177,""),"")</f>
        <v/>
      </c>
      <c r="H177" s="11">
        <f>IFERROR(IF('入力シート'!$S177="表示",'入力シート'!R177,""),"")</f>
        <v/>
      </c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</row>
    <row r="178" ht="26.75" customHeight="1">
      <c r="A178" s="11">
        <f>IFERROR(IF('入力シート'!$S178="表示",'入力シート'!A178,""),"")</f>
        <v/>
      </c>
      <c r="B178" s="11">
        <f>IFERROR(IF('入力シート'!$S178="表示",'入力シート'!B178,""),"")</f>
        <v/>
      </c>
      <c r="C178" s="11">
        <f>IFERROR(IF('入力シート'!$S178="表示",'入力シート'!D178,""),"")</f>
        <v/>
      </c>
      <c r="D178" s="3">
        <f>IFERROR(IF('入力シート'!$S178="表示",'入力シート'!E178,""),"")</f>
        <v/>
      </c>
      <c r="E178" s="11">
        <f>IFERROR(IF('入力シート'!$S178="表示",'入力シート'!F178,""),"")</f>
        <v/>
      </c>
      <c r="F178" s="3">
        <f>IFERROR(IF('入力シート'!$S178="表示",'入力シート'!G178,""),"")</f>
        <v/>
      </c>
      <c r="G178" s="3">
        <f>IFERROR(IF('入力シート'!$S178="表示",'入力シート'!I178,""),"")</f>
        <v/>
      </c>
      <c r="H178" s="11">
        <f>IFERROR(IF('入力シート'!$S178="表示",'入力シート'!R178,""),"")</f>
        <v/>
      </c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</row>
    <row r="179" ht="26.75" customHeight="1">
      <c r="A179" s="11">
        <f>IFERROR(IF('入力シート'!$S179="表示",'入力シート'!A179,""),"")</f>
        <v/>
      </c>
      <c r="B179" s="11">
        <f>IFERROR(IF('入力シート'!$S179="表示",'入力シート'!B179,""),"")</f>
        <v/>
      </c>
      <c r="C179" s="11">
        <f>IFERROR(IF('入力シート'!$S179="表示",'入力シート'!D179,""),"")</f>
        <v/>
      </c>
      <c r="D179" s="3">
        <f>IFERROR(IF('入力シート'!$S179="表示",'入力シート'!E179,""),"")</f>
        <v/>
      </c>
      <c r="E179" s="11">
        <f>IFERROR(IF('入力シート'!$S179="表示",'入力シート'!F179,""),"")</f>
        <v/>
      </c>
      <c r="F179" s="3">
        <f>IFERROR(IF('入力シート'!$S179="表示",'入力シート'!G179,""),"")</f>
        <v/>
      </c>
      <c r="G179" s="3">
        <f>IFERROR(IF('入力シート'!$S179="表示",'入力シート'!I179,""),"")</f>
        <v/>
      </c>
      <c r="H179" s="11">
        <f>IFERROR(IF('入力シート'!$S179="表示",'入力シート'!R179,""),"")</f>
        <v/>
      </c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</row>
    <row r="180" ht="26.75" customHeight="1">
      <c r="A180" s="11">
        <f>IFERROR(IF('入力シート'!$S180="表示",'入力シート'!A180,""),"")</f>
        <v/>
      </c>
      <c r="B180" s="11">
        <f>IFERROR(IF('入力シート'!$S180="表示",'入力シート'!B180,""),"")</f>
        <v/>
      </c>
      <c r="C180" s="11">
        <f>IFERROR(IF('入力シート'!$S180="表示",'入力シート'!D180,""),"")</f>
        <v/>
      </c>
      <c r="D180" s="3">
        <f>IFERROR(IF('入力シート'!$S180="表示",'入力シート'!E180,""),"")</f>
        <v/>
      </c>
      <c r="E180" s="11">
        <f>IFERROR(IF('入力シート'!$S180="表示",'入力シート'!F180,""),"")</f>
        <v/>
      </c>
      <c r="F180" s="3">
        <f>IFERROR(IF('入力シート'!$S180="表示",'入力シート'!G180,""),"")</f>
        <v/>
      </c>
      <c r="G180" s="3">
        <f>IFERROR(IF('入力シート'!$S180="表示",'入力シート'!I180,""),"")</f>
        <v/>
      </c>
      <c r="H180" s="11">
        <f>IFERROR(IF('入力シート'!$S180="表示",'入力シート'!R180,""),"")</f>
        <v/>
      </c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</row>
    <row r="181" ht="26.75" customHeight="1">
      <c r="A181" s="11">
        <f>IFERROR(IF('入力シート'!$S181="表示",'入力シート'!A181,""),"")</f>
        <v/>
      </c>
      <c r="B181" s="11">
        <f>IFERROR(IF('入力シート'!$S181="表示",'入力シート'!B181,""),"")</f>
        <v/>
      </c>
      <c r="C181" s="11">
        <f>IFERROR(IF('入力シート'!$S181="表示",'入力シート'!D181,""),"")</f>
        <v/>
      </c>
      <c r="D181" s="3">
        <f>IFERROR(IF('入力シート'!$S181="表示",'入力シート'!E181,""),"")</f>
        <v/>
      </c>
      <c r="E181" s="11">
        <f>IFERROR(IF('入力シート'!$S181="表示",'入力シート'!F181,""),"")</f>
        <v/>
      </c>
      <c r="F181" s="3">
        <f>IFERROR(IF('入力シート'!$S181="表示",'入力シート'!G181,""),"")</f>
        <v/>
      </c>
      <c r="G181" s="3">
        <f>IFERROR(IF('入力シート'!$S181="表示",'入力シート'!I181,""),"")</f>
        <v/>
      </c>
      <c r="H181" s="11">
        <f>IFERROR(IF('入力シート'!$S181="表示",'入力シート'!R181,""),"")</f>
        <v/>
      </c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</row>
    <row r="182" ht="26.75" customHeight="1">
      <c r="A182" s="11">
        <f>IFERROR(IF('入力シート'!$S182="表示",'入力シート'!A182,""),"")</f>
        <v/>
      </c>
      <c r="B182" s="11">
        <f>IFERROR(IF('入力シート'!$S182="表示",'入力シート'!B182,""),"")</f>
        <v/>
      </c>
      <c r="C182" s="11">
        <f>IFERROR(IF('入力シート'!$S182="表示",'入力シート'!D182,""),"")</f>
        <v/>
      </c>
      <c r="D182" s="3">
        <f>IFERROR(IF('入力シート'!$S182="表示",'入力シート'!E182,""),"")</f>
        <v/>
      </c>
      <c r="E182" s="11">
        <f>IFERROR(IF('入力シート'!$S182="表示",'入力シート'!F182,""),"")</f>
        <v/>
      </c>
      <c r="F182" s="3">
        <f>IFERROR(IF('入力シート'!$S182="表示",'入力シート'!G182,""),"")</f>
        <v/>
      </c>
      <c r="G182" s="3">
        <f>IFERROR(IF('入力シート'!$S182="表示",'入力シート'!I182,""),"")</f>
        <v/>
      </c>
      <c r="H182" s="11">
        <f>IFERROR(IF('入力シート'!$S182="表示",'入力シート'!R182,""),"")</f>
        <v/>
      </c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</row>
    <row r="183" ht="26.75" customHeight="1">
      <c r="A183" s="11">
        <f>IFERROR(IF('入力シート'!$S183="表示",'入力シート'!A183,""),"")</f>
        <v/>
      </c>
      <c r="B183" s="11">
        <f>IFERROR(IF('入力シート'!$S183="表示",'入力シート'!B183,""),"")</f>
        <v/>
      </c>
      <c r="C183" s="11">
        <f>IFERROR(IF('入力シート'!$S183="表示",'入力シート'!D183,""),"")</f>
        <v/>
      </c>
      <c r="D183" s="3">
        <f>IFERROR(IF('入力シート'!$S183="表示",'入力シート'!E183,""),"")</f>
        <v/>
      </c>
      <c r="E183" s="11">
        <f>IFERROR(IF('入力シート'!$S183="表示",'入力シート'!F183,""),"")</f>
        <v/>
      </c>
      <c r="F183" s="3">
        <f>IFERROR(IF('入力シート'!$S183="表示",'入力シート'!G183,""),"")</f>
        <v/>
      </c>
      <c r="G183" s="3">
        <f>IFERROR(IF('入力シート'!$S183="表示",'入力シート'!I183,""),"")</f>
        <v/>
      </c>
      <c r="H183" s="11">
        <f>IFERROR(IF('入力シート'!$S183="表示",'入力シート'!R183,""),"")</f>
        <v/>
      </c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</row>
    <row r="184" ht="26.75" customHeight="1">
      <c r="A184" s="11">
        <f>IFERROR(IF('入力シート'!$S184="表示",'入力シート'!A184,""),"")</f>
        <v/>
      </c>
      <c r="B184" s="11">
        <f>IFERROR(IF('入力シート'!$S184="表示",'入力シート'!B184,""),"")</f>
        <v/>
      </c>
      <c r="C184" s="11">
        <f>IFERROR(IF('入力シート'!$S184="表示",'入力シート'!D184,""),"")</f>
        <v/>
      </c>
      <c r="D184" s="3">
        <f>IFERROR(IF('入力シート'!$S184="表示",'入力シート'!E184,""),"")</f>
        <v/>
      </c>
      <c r="E184" s="11">
        <f>IFERROR(IF('入力シート'!$S184="表示",'入力シート'!F184,""),"")</f>
        <v/>
      </c>
      <c r="F184" s="3">
        <f>IFERROR(IF('入力シート'!$S184="表示",'入力シート'!G184,""),"")</f>
        <v/>
      </c>
      <c r="G184" s="3">
        <f>IFERROR(IF('入力シート'!$S184="表示",'入力シート'!I184,""),"")</f>
        <v/>
      </c>
      <c r="H184" s="11">
        <f>IFERROR(IF('入力シート'!$S184="表示",'入力シート'!R184,""),"")</f>
        <v/>
      </c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</row>
    <row r="185" ht="26.75" customHeight="1">
      <c r="A185" s="11">
        <f>IFERROR(IF('入力シート'!$S185="表示",'入力シート'!A185,""),"")</f>
        <v/>
      </c>
      <c r="B185" s="11">
        <f>IFERROR(IF('入力シート'!$S185="表示",'入力シート'!B185,""),"")</f>
        <v/>
      </c>
      <c r="C185" s="11">
        <f>IFERROR(IF('入力シート'!$S185="表示",'入力シート'!D185,""),"")</f>
        <v/>
      </c>
      <c r="D185" s="3">
        <f>IFERROR(IF('入力シート'!$S185="表示",'入力シート'!E185,""),"")</f>
        <v/>
      </c>
      <c r="E185" s="11">
        <f>IFERROR(IF('入力シート'!$S185="表示",'入力シート'!F185,""),"")</f>
        <v/>
      </c>
      <c r="F185" s="3">
        <f>IFERROR(IF('入力シート'!$S185="表示",'入力シート'!G185,""),"")</f>
        <v/>
      </c>
      <c r="G185" s="3">
        <f>IFERROR(IF('入力シート'!$S185="表示",'入力シート'!I185,""),"")</f>
        <v/>
      </c>
      <c r="H185" s="11">
        <f>IFERROR(IF('入力シート'!$S185="表示",'入力シート'!R185,""),"")</f>
        <v/>
      </c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</row>
    <row r="186" ht="26.75" customHeight="1">
      <c r="A186" s="11">
        <f>IFERROR(IF('入力シート'!$S186="表示",'入力シート'!A186,""),"")</f>
        <v/>
      </c>
      <c r="B186" s="11">
        <f>IFERROR(IF('入力シート'!$S186="表示",'入力シート'!B186,""),"")</f>
        <v/>
      </c>
      <c r="C186" s="11">
        <f>IFERROR(IF('入力シート'!$S186="表示",'入力シート'!D186,""),"")</f>
        <v/>
      </c>
      <c r="D186" s="3">
        <f>IFERROR(IF('入力シート'!$S186="表示",'入力シート'!E186,""),"")</f>
        <v/>
      </c>
      <c r="E186" s="11">
        <f>IFERROR(IF('入力シート'!$S186="表示",'入力シート'!F186,""),"")</f>
        <v/>
      </c>
      <c r="F186" s="3">
        <f>IFERROR(IF('入力シート'!$S186="表示",'入力シート'!G186,""),"")</f>
        <v/>
      </c>
      <c r="G186" s="3">
        <f>IFERROR(IF('入力シート'!$S186="表示",'入力シート'!I186,""),"")</f>
        <v/>
      </c>
      <c r="H186" s="11">
        <f>IFERROR(IF('入力シート'!$S186="表示",'入力シート'!R186,""),"")</f>
        <v/>
      </c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</row>
    <row r="187" ht="26.75" customHeight="1">
      <c r="A187" s="11">
        <f>IFERROR(IF('入力シート'!$S187="表示",'入力シート'!A187,""),"")</f>
        <v/>
      </c>
      <c r="B187" s="11">
        <f>IFERROR(IF('入力シート'!$S187="表示",'入力シート'!B187,""),"")</f>
        <v/>
      </c>
      <c r="C187" s="11">
        <f>IFERROR(IF('入力シート'!$S187="表示",'入力シート'!D187,""),"")</f>
        <v/>
      </c>
      <c r="D187" s="3">
        <f>IFERROR(IF('入力シート'!$S187="表示",'入力シート'!E187,""),"")</f>
        <v/>
      </c>
      <c r="E187" s="11">
        <f>IFERROR(IF('入力シート'!$S187="表示",'入力シート'!F187,""),"")</f>
        <v/>
      </c>
      <c r="F187" s="3">
        <f>IFERROR(IF('入力シート'!$S187="表示",'入力シート'!G187,""),"")</f>
        <v/>
      </c>
      <c r="G187" s="3">
        <f>IFERROR(IF('入力シート'!$S187="表示",'入力シート'!I187,""),"")</f>
        <v/>
      </c>
      <c r="H187" s="11">
        <f>IFERROR(IF('入力シート'!$S187="表示",'入力シート'!R187,""),"")</f>
        <v/>
      </c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</row>
    <row r="188" ht="26.75" customHeight="1">
      <c r="A188" s="11">
        <f>IFERROR(IF('入力シート'!$S188="表示",'入力シート'!A188,""),"")</f>
        <v/>
      </c>
      <c r="B188" s="11">
        <f>IFERROR(IF('入力シート'!$S188="表示",'入力シート'!B188,""),"")</f>
        <v/>
      </c>
      <c r="C188" s="11">
        <f>IFERROR(IF('入力シート'!$S188="表示",'入力シート'!D188,""),"")</f>
        <v/>
      </c>
      <c r="D188" s="3">
        <f>IFERROR(IF('入力シート'!$S188="表示",'入力シート'!E188,""),"")</f>
        <v/>
      </c>
      <c r="E188" s="11">
        <f>IFERROR(IF('入力シート'!$S188="表示",'入力シート'!F188,""),"")</f>
        <v/>
      </c>
      <c r="F188" s="3">
        <f>IFERROR(IF('入力シート'!$S188="表示",'入力シート'!G188,""),"")</f>
        <v/>
      </c>
      <c r="G188" s="3">
        <f>IFERROR(IF('入力シート'!$S188="表示",'入力シート'!I188,""),"")</f>
        <v/>
      </c>
      <c r="H188" s="11">
        <f>IFERROR(IF('入力シート'!$S188="表示",'入力シート'!R188,""),"")</f>
        <v/>
      </c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</row>
    <row r="189" ht="26.75" customHeight="1">
      <c r="A189" s="11">
        <f>IFERROR(IF('入力シート'!$S189="表示",'入力シート'!A189,""),"")</f>
        <v/>
      </c>
      <c r="B189" s="11">
        <f>IFERROR(IF('入力シート'!$S189="表示",'入力シート'!B189,""),"")</f>
        <v/>
      </c>
      <c r="C189" s="11">
        <f>IFERROR(IF('入力シート'!$S189="表示",'入力シート'!D189,""),"")</f>
        <v/>
      </c>
      <c r="D189" s="3">
        <f>IFERROR(IF('入力シート'!$S189="表示",'入力シート'!E189,""),"")</f>
        <v/>
      </c>
      <c r="E189" s="11">
        <f>IFERROR(IF('入力シート'!$S189="表示",'入力シート'!F189,""),"")</f>
        <v/>
      </c>
      <c r="F189" s="3">
        <f>IFERROR(IF('入力シート'!$S189="表示",'入力シート'!G189,""),"")</f>
        <v/>
      </c>
      <c r="G189" s="3">
        <f>IFERROR(IF('入力シート'!$S189="表示",'入力シート'!I189,""),"")</f>
        <v/>
      </c>
      <c r="H189" s="11">
        <f>IFERROR(IF('入力シート'!$S189="表示",'入力シート'!R189,""),"")</f>
        <v/>
      </c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</row>
    <row r="190" ht="26.75" customHeight="1">
      <c r="A190" s="11">
        <f>IFERROR(IF('入力シート'!$S190="表示",'入力シート'!A190,""),"")</f>
        <v/>
      </c>
      <c r="B190" s="11">
        <f>IFERROR(IF('入力シート'!$S190="表示",'入力シート'!B190,""),"")</f>
        <v/>
      </c>
      <c r="C190" s="11">
        <f>IFERROR(IF('入力シート'!$S190="表示",'入力シート'!D190,""),"")</f>
        <v/>
      </c>
      <c r="D190" s="3">
        <f>IFERROR(IF('入力シート'!$S190="表示",'入力シート'!E190,""),"")</f>
        <v/>
      </c>
      <c r="E190" s="11">
        <f>IFERROR(IF('入力シート'!$S190="表示",'入力シート'!F190,""),"")</f>
        <v/>
      </c>
      <c r="F190" s="3">
        <f>IFERROR(IF('入力シート'!$S190="表示",'入力シート'!G190,""),"")</f>
        <v/>
      </c>
      <c r="G190" s="3">
        <f>IFERROR(IF('入力シート'!$S190="表示",'入力シート'!I190,""),"")</f>
        <v/>
      </c>
      <c r="H190" s="11">
        <f>IFERROR(IF('入力シート'!$S190="表示",'入力シート'!R190,""),"")</f>
        <v/>
      </c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</row>
    <row r="191" ht="26.75" customHeight="1">
      <c r="A191" s="11">
        <f>IFERROR(IF('入力シート'!$S191="表示",'入力シート'!A191,""),"")</f>
        <v/>
      </c>
      <c r="B191" s="11">
        <f>IFERROR(IF('入力シート'!$S191="表示",'入力シート'!B191,""),"")</f>
        <v/>
      </c>
      <c r="C191" s="11">
        <f>IFERROR(IF('入力シート'!$S191="表示",'入力シート'!D191,""),"")</f>
        <v/>
      </c>
      <c r="D191" s="3">
        <f>IFERROR(IF('入力シート'!$S191="表示",'入力シート'!E191,""),"")</f>
        <v/>
      </c>
      <c r="E191" s="11">
        <f>IFERROR(IF('入力シート'!$S191="表示",'入力シート'!F191,""),"")</f>
        <v/>
      </c>
      <c r="F191" s="3">
        <f>IFERROR(IF('入力シート'!$S191="表示",'入力シート'!G191,""),"")</f>
        <v/>
      </c>
      <c r="G191" s="3">
        <f>IFERROR(IF('入力シート'!$S191="表示",'入力シート'!I191,""),"")</f>
        <v/>
      </c>
      <c r="H191" s="11">
        <f>IFERROR(IF('入力シート'!$S191="表示",'入力シート'!R191,""),"")</f>
        <v/>
      </c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</row>
    <row r="192" ht="26.75" customHeight="1">
      <c r="A192" s="11">
        <f>IFERROR(IF('入力シート'!$S192="表示",'入力シート'!A192,""),"")</f>
        <v/>
      </c>
      <c r="B192" s="11">
        <f>IFERROR(IF('入力シート'!$S192="表示",'入力シート'!B192,""),"")</f>
        <v/>
      </c>
      <c r="C192" s="11">
        <f>IFERROR(IF('入力シート'!$S192="表示",'入力シート'!D192,""),"")</f>
        <v/>
      </c>
      <c r="D192" s="3">
        <f>IFERROR(IF('入力シート'!$S192="表示",'入力シート'!E192,""),"")</f>
        <v/>
      </c>
      <c r="E192" s="11">
        <f>IFERROR(IF('入力シート'!$S192="表示",'入力シート'!F192,""),"")</f>
        <v/>
      </c>
      <c r="F192" s="3">
        <f>IFERROR(IF('入力シート'!$S192="表示",'入力シート'!G192,""),"")</f>
        <v/>
      </c>
      <c r="G192" s="3">
        <f>IFERROR(IF('入力シート'!$S192="表示",'入力シート'!I192,""),"")</f>
        <v/>
      </c>
      <c r="H192" s="11">
        <f>IFERROR(IF('入力シート'!$S192="表示",'入力シート'!R192,""),"")</f>
        <v/>
      </c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</row>
    <row r="193" ht="26.75" customHeight="1">
      <c r="A193" s="11">
        <f>IFERROR(IF('入力シート'!$S193="表示",'入力シート'!A193,""),"")</f>
        <v/>
      </c>
      <c r="B193" s="11">
        <f>IFERROR(IF('入力シート'!$S193="表示",'入力シート'!B193,""),"")</f>
        <v/>
      </c>
      <c r="C193" s="11">
        <f>IFERROR(IF('入力シート'!$S193="表示",'入力シート'!D193,""),"")</f>
        <v/>
      </c>
      <c r="D193" s="3">
        <f>IFERROR(IF('入力シート'!$S193="表示",'入力シート'!E193,""),"")</f>
        <v/>
      </c>
      <c r="E193" s="11">
        <f>IFERROR(IF('入力シート'!$S193="表示",'入力シート'!F193,""),"")</f>
        <v/>
      </c>
      <c r="F193" s="3">
        <f>IFERROR(IF('入力シート'!$S193="表示",'入力シート'!G193,""),"")</f>
        <v/>
      </c>
      <c r="G193" s="3">
        <f>IFERROR(IF('入力シート'!$S193="表示",'入力シート'!I193,""),"")</f>
        <v/>
      </c>
      <c r="H193" s="11">
        <f>IFERROR(IF('入力シート'!$S193="表示",'入力シート'!R193,""),"")</f>
        <v/>
      </c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</row>
    <row r="194" ht="26.75" customHeight="1">
      <c r="A194" s="11">
        <f>IFERROR(IF('入力シート'!$S194="表示",'入力シート'!A194,""),"")</f>
        <v/>
      </c>
      <c r="B194" s="11">
        <f>IFERROR(IF('入力シート'!$S194="表示",'入力シート'!B194,""),"")</f>
        <v/>
      </c>
      <c r="C194" s="11">
        <f>IFERROR(IF('入力シート'!$S194="表示",'入力シート'!D194,""),"")</f>
        <v/>
      </c>
      <c r="D194" s="3">
        <f>IFERROR(IF('入力シート'!$S194="表示",'入力シート'!E194,""),"")</f>
        <v/>
      </c>
      <c r="E194" s="11">
        <f>IFERROR(IF('入力シート'!$S194="表示",'入力シート'!F194,""),"")</f>
        <v/>
      </c>
      <c r="F194" s="3">
        <f>IFERROR(IF('入力シート'!$S194="表示",'入力シート'!G194,""),"")</f>
        <v/>
      </c>
      <c r="G194" s="3">
        <f>IFERROR(IF('入力シート'!$S194="表示",'入力シート'!I194,""),"")</f>
        <v/>
      </c>
      <c r="H194" s="11">
        <f>IFERROR(IF('入力シート'!$S194="表示",'入力シート'!R194,""),"")</f>
        <v/>
      </c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</row>
    <row r="195" ht="26.75" customHeight="1">
      <c r="A195" s="11">
        <f>IFERROR(IF('入力シート'!$S195="表示",'入力シート'!A195,""),"")</f>
        <v/>
      </c>
      <c r="B195" s="11">
        <f>IFERROR(IF('入力シート'!$S195="表示",'入力シート'!B195,""),"")</f>
        <v/>
      </c>
      <c r="C195" s="11">
        <f>IFERROR(IF('入力シート'!$S195="表示",'入力シート'!D195,""),"")</f>
        <v/>
      </c>
      <c r="D195" s="3">
        <f>IFERROR(IF('入力シート'!$S195="表示",'入力シート'!E195,""),"")</f>
        <v/>
      </c>
      <c r="E195" s="11">
        <f>IFERROR(IF('入力シート'!$S195="表示",'入力シート'!F195,""),"")</f>
        <v/>
      </c>
      <c r="F195" s="3">
        <f>IFERROR(IF('入力シート'!$S195="表示",'入力シート'!G195,""),"")</f>
        <v/>
      </c>
      <c r="G195" s="3">
        <f>IFERROR(IF('入力シート'!$S195="表示",'入力シート'!I195,""),"")</f>
        <v/>
      </c>
      <c r="H195" s="11">
        <f>IFERROR(IF('入力シート'!$S195="表示",'入力シート'!R195,""),"")</f>
        <v/>
      </c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</row>
    <row r="196" ht="26.75" customHeight="1">
      <c r="A196" s="11">
        <f>IFERROR(IF('入力シート'!$S196="表示",'入力シート'!A196,""),"")</f>
        <v/>
      </c>
      <c r="B196" s="11">
        <f>IFERROR(IF('入力シート'!$S196="表示",'入力シート'!B196,""),"")</f>
        <v/>
      </c>
      <c r="C196" s="11">
        <f>IFERROR(IF('入力シート'!$S196="表示",'入力シート'!D196,""),"")</f>
        <v/>
      </c>
      <c r="D196" s="3">
        <f>IFERROR(IF('入力シート'!$S196="表示",'入力シート'!E196,""),"")</f>
        <v/>
      </c>
      <c r="E196" s="11">
        <f>IFERROR(IF('入力シート'!$S196="表示",'入力シート'!F196,""),"")</f>
        <v/>
      </c>
      <c r="F196" s="3">
        <f>IFERROR(IF('入力シート'!$S196="表示",'入力シート'!G196,""),"")</f>
        <v/>
      </c>
      <c r="G196" s="3">
        <f>IFERROR(IF('入力シート'!$S196="表示",'入力シート'!I196,""),"")</f>
        <v/>
      </c>
      <c r="H196" s="11">
        <f>IFERROR(IF('入力シート'!$S196="表示",'入力シート'!R196,""),"")</f>
        <v/>
      </c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</row>
    <row r="197" ht="26.75" customHeight="1">
      <c r="A197" s="11">
        <f>IFERROR(IF('入力シート'!$S197="表示",'入力シート'!A197,""),"")</f>
        <v/>
      </c>
      <c r="B197" s="11">
        <f>IFERROR(IF('入力シート'!$S197="表示",'入力シート'!B197,""),"")</f>
        <v/>
      </c>
      <c r="C197" s="11">
        <f>IFERROR(IF('入力シート'!$S197="表示",'入力シート'!D197,""),"")</f>
        <v/>
      </c>
      <c r="D197" s="3">
        <f>IFERROR(IF('入力シート'!$S197="表示",'入力シート'!E197,""),"")</f>
        <v/>
      </c>
      <c r="E197" s="11">
        <f>IFERROR(IF('入力シート'!$S197="表示",'入力シート'!F197,""),"")</f>
        <v/>
      </c>
      <c r="F197" s="3">
        <f>IFERROR(IF('入力シート'!$S197="表示",'入力シート'!G197,""),"")</f>
        <v/>
      </c>
      <c r="G197" s="3">
        <f>IFERROR(IF('入力シート'!$S197="表示",'入力シート'!I197,""),"")</f>
        <v/>
      </c>
      <c r="H197" s="11">
        <f>IFERROR(IF('入力シート'!$S197="表示",'入力シート'!R197,""),"")</f>
        <v/>
      </c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</row>
    <row r="198" ht="26.75" customHeight="1">
      <c r="A198" s="11">
        <f>IFERROR(IF('入力シート'!$S198="表示",'入力シート'!A198,""),"")</f>
        <v/>
      </c>
      <c r="B198" s="11">
        <f>IFERROR(IF('入力シート'!$S198="表示",'入力シート'!B198,""),"")</f>
        <v/>
      </c>
      <c r="C198" s="11">
        <f>IFERROR(IF('入力シート'!$S198="表示",'入力シート'!D198,""),"")</f>
        <v/>
      </c>
      <c r="D198" s="3">
        <f>IFERROR(IF('入力シート'!$S198="表示",'入力シート'!E198,""),"")</f>
        <v/>
      </c>
      <c r="E198" s="11">
        <f>IFERROR(IF('入力シート'!$S198="表示",'入力シート'!F198,""),"")</f>
        <v/>
      </c>
      <c r="F198" s="3">
        <f>IFERROR(IF('入力シート'!$S198="表示",'入力シート'!G198,""),"")</f>
        <v/>
      </c>
      <c r="G198" s="3">
        <f>IFERROR(IF('入力シート'!$S198="表示",'入力シート'!I198,""),"")</f>
        <v/>
      </c>
      <c r="H198" s="11">
        <f>IFERROR(IF('入力シート'!$S198="表示",'入力シート'!R198,""),"")</f>
        <v/>
      </c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</row>
    <row r="199" ht="26.75" customHeight="1">
      <c r="A199" s="11">
        <f>IFERROR(IF('入力シート'!$S199="表示",'入力シート'!A199,""),"")</f>
        <v/>
      </c>
      <c r="B199" s="11">
        <f>IFERROR(IF('入力シート'!$S199="表示",'入力シート'!B199,""),"")</f>
        <v/>
      </c>
      <c r="C199" s="11">
        <f>IFERROR(IF('入力シート'!$S199="表示",'入力シート'!D199,""),"")</f>
        <v/>
      </c>
      <c r="D199" s="3">
        <f>IFERROR(IF('入力シート'!$S199="表示",'入力シート'!E199,""),"")</f>
        <v/>
      </c>
      <c r="E199" s="11">
        <f>IFERROR(IF('入力シート'!$S199="表示",'入力シート'!F199,""),"")</f>
        <v/>
      </c>
      <c r="F199" s="3">
        <f>IFERROR(IF('入力シート'!$S199="表示",'入力シート'!G199,""),"")</f>
        <v/>
      </c>
      <c r="G199" s="3">
        <f>IFERROR(IF('入力シート'!$S199="表示",'入力シート'!I199,""),"")</f>
        <v/>
      </c>
      <c r="H199" s="11">
        <f>IFERROR(IF('入力シート'!$S199="表示",'入力シート'!R199,""),"")</f>
        <v/>
      </c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</row>
    <row r="200" ht="26.75" customHeight="1">
      <c r="A200" s="11">
        <f>IFERROR(IF('入力シート'!$S200="表示",'入力シート'!A200,""),"")</f>
        <v/>
      </c>
      <c r="B200" s="11">
        <f>IFERROR(IF('入力シート'!$S200="表示",'入力シート'!B200,""),"")</f>
        <v/>
      </c>
      <c r="C200" s="11">
        <f>IFERROR(IF('入力シート'!$S200="表示",'入力シート'!D200,""),"")</f>
        <v/>
      </c>
      <c r="D200" s="3">
        <f>IFERROR(IF('入力シート'!$S200="表示",'入力シート'!E200,""),"")</f>
        <v/>
      </c>
      <c r="E200" s="11">
        <f>IFERROR(IF('入力シート'!$S200="表示",'入力シート'!F200,""),"")</f>
        <v/>
      </c>
      <c r="F200" s="3">
        <f>IFERROR(IF('入力シート'!$S200="表示",'入力シート'!G200,""),"")</f>
        <v/>
      </c>
      <c r="G200" s="3">
        <f>IFERROR(IF('入力シート'!$S200="表示",'入力シート'!I200,""),"")</f>
        <v/>
      </c>
      <c r="H200" s="11">
        <f>IFERROR(IF('入力シート'!$S200="表示",'入力シート'!R200,""),"")</f>
        <v/>
      </c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</row>
    <row r="201" ht="26.75" customHeight="1">
      <c r="A201" s="11">
        <f>IFERROR(IF('入力シート'!$S201="表示",'入力シート'!A201,""),"")</f>
        <v/>
      </c>
      <c r="B201" s="11">
        <f>IFERROR(IF('入力シート'!$S201="表示",'入力シート'!B201,""),"")</f>
        <v/>
      </c>
      <c r="C201" s="11">
        <f>IFERROR(IF('入力シート'!$S201="表示",'入力シート'!D201,""),"")</f>
        <v/>
      </c>
      <c r="D201" s="3">
        <f>IFERROR(IF('入力シート'!$S201="表示",'入力シート'!E201,""),"")</f>
        <v/>
      </c>
      <c r="E201" s="11">
        <f>IFERROR(IF('入力シート'!$S201="表示",'入力シート'!F201,""),"")</f>
        <v/>
      </c>
      <c r="F201" s="3">
        <f>IFERROR(IF('入力シート'!$S201="表示",'入力シート'!G201,""),"")</f>
        <v/>
      </c>
      <c r="G201" s="3">
        <f>IFERROR(IF('入力シート'!$S201="表示",'入力シート'!I201,""),"")</f>
        <v/>
      </c>
      <c r="H201" s="11">
        <f>IFERROR(IF('入力シート'!$S201="表示",'入力シート'!R201,""),"")</f>
        <v/>
      </c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</row>
    <row r="202" ht="26.75" customHeight="1">
      <c r="A202" s="11">
        <f>IFERROR(IF('入力シート'!$S202="表示",'入力シート'!A202,""),"")</f>
        <v/>
      </c>
      <c r="B202" s="11">
        <f>IFERROR(IF('入力シート'!$S202="表示",'入力シート'!B202,""),"")</f>
        <v/>
      </c>
      <c r="C202" s="11">
        <f>IFERROR(IF('入力シート'!$S202="表示",'入力シート'!D202,""),"")</f>
        <v/>
      </c>
      <c r="D202" s="3">
        <f>IFERROR(IF('入力シート'!$S202="表示",'入力シート'!E202,""),"")</f>
        <v/>
      </c>
      <c r="E202" s="11">
        <f>IFERROR(IF('入力シート'!$S202="表示",'入力シート'!F202,""),"")</f>
        <v/>
      </c>
      <c r="F202" s="3">
        <f>IFERROR(IF('入力シート'!$S202="表示",'入力シート'!G202,""),"")</f>
        <v/>
      </c>
      <c r="G202" s="3">
        <f>IFERROR(IF('入力シート'!$S202="表示",'入力シート'!I202,""),"")</f>
        <v/>
      </c>
      <c r="H202" s="11">
        <f>IFERROR(IF('入力シート'!$S202="表示",'入力シート'!R202,""),"")</f>
        <v/>
      </c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</row>
    <row r="203" ht="26.75" customHeight="1">
      <c r="A203" s="11">
        <f>IFERROR(IF('入力シート'!$S203="表示",'入力シート'!A203,""),"")</f>
        <v/>
      </c>
      <c r="B203" s="11">
        <f>IFERROR(IF('入力シート'!$S203="表示",'入力シート'!B203,""),"")</f>
        <v/>
      </c>
      <c r="C203" s="11">
        <f>IFERROR(IF('入力シート'!$S203="表示",'入力シート'!D203,""),"")</f>
        <v/>
      </c>
      <c r="D203" s="3">
        <f>IFERROR(IF('入力シート'!$S203="表示",'入力シート'!E203,""),"")</f>
        <v/>
      </c>
      <c r="E203" s="11">
        <f>IFERROR(IF('入力シート'!$S203="表示",'入力シート'!F203,""),"")</f>
        <v/>
      </c>
      <c r="F203" s="3">
        <f>IFERROR(IF('入力シート'!$S203="表示",'入力シート'!G203,""),"")</f>
        <v/>
      </c>
      <c r="G203" s="3">
        <f>IFERROR(IF('入力シート'!$S203="表示",'入力シート'!I203,""),"")</f>
        <v/>
      </c>
      <c r="H203" s="11">
        <f>IFERROR(IF('入力シート'!$S203="表示",'入力シート'!R203,""),"")</f>
        <v/>
      </c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</row>
    <row r="204" ht="26.75" customHeight="1">
      <c r="A204" s="11">
        <f>IFERROR(IF('入力シート'!$S204="表示",'入力シート'!A204,""),"")</f>
        <v/>
      </c>
      <c r="B204" s="11">
        <f>IFERROR(IF('入力シート'!$S204="表示",'入力シート'!B204,""),"")</f>
        <v/>
      </c>
      <c r="C204" s="11">
        <f>IFERROR(IF('入力シート'!$S204="表示",'入力シート'!D204,""),"")</f>
        <v/>
      </c>
      <c r="D204" s="3">
        <f>IFERROR(IF('入力シート'!$S204="表示",'入力シート'!E204,""),"")</f>
        <v/>
      </c>
      <c r="E204" s="11">
        <f>IFERROR(IF('入力シート'!$S204="表示",'入力シート'!F204,""),"")</f>
        <v/>
      </c>
      <c r="F204" s="3">
        <f>IFERROR(IF('入力シート'!$S204="表示",'入力シート'!G204,""),"")</f>
        <v/>
      </c>
      <c r="G204" s="3">
        <f>IFERROR(IF('入力シート'!$S204="表示",'入力シート'!I204,""),"")</f>
        <v/>
      </c>
      <c r="H204" s="11">
        <f>IFERROR(IF('入力シート'!$S204="表示",'入力シート'!R204,""),"")</f>
        <v/>
      </c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</row>
    <row r="205" ht="26.75" customHeight="1">
      <c r="A205" s="11">
        <f>IFERROR(IF('入力シート'!$S205="表示",'入力シート'!A205,""),"")</f>
        <v/>
      </c>
      <c r="B205" s="11">
        <f>IFERROR(IF('入力シート'!$S205="表示",'入力シート'!B205,""),"")</f>
        <v/>
      </c>
      <c r="C205" s="11">
        <f>IFERROR(IF('入力シート'!$S205="表示",'入力シート'!D205,""),"")</f>
        <v/>
      </c>
      <c r="D205" s="3">
        <f>IFERROR(IF('入力シート'!$S205="表示",'入力シート'!E205,""),"")</f>
        <v/>
      </c>
      <c r="E205" s="11">
        <f>IFERROR(IF('入力シート'!$S205="表示",'入力シート'!F205,""),"")</f>
        <v/>
      </c>
      <c r="F205" s="3">
        <f>IFERROR(IF('入力シート'!$S205="表示",'入力シート'!G205,""),"")</f>
        <v/>
      </c>
      <c r="G205" s="3">
        <f>IFERROR(IF('入力シート'!$S205="表示",'入力シート'!I205,""),"")</f>
        <v/>
      </c>
      <c r="H205" s="11">
        <f>IFERROR(IF('入力シート'!$S205="表示",'入力シート'!R205,""),"")</f>
        <v/>
      </c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</row>
    <row r="206" ht="26.75" customHeight="1">
      <c r="A206" s="11">
        <f>IFERROR(IF('入力シート'!$S206="表示",'入力シート'!A206,""),"")</f>
        <v/>
      </c>
      <c r="B206" s="11">
        <f>IFERROR(IF('入力シート'!$S206="表示",'入力シート'!B206,""),"")</f>
        <v/>
      </c>
      <c r="C206" s="11">
        <f>IFERROR(IF('入力シート'!$S206="表示",'入力シート'!D206,""),"")</f>
        <v/>
      </c>
      <c r="D206" s="3">
        <f>IFERROR(IF('入力シート'!$S206="表示",'入力シート'!E206,""),"")</f>
        <v/>
      </c>
      <c r="E206" s="11">
        <f>IFERROR(IF('入力シート'!$S206="表示",'入力シート'!F206,""),"")</f>
        <v/>
      </c>
      <c r="F206" s="3">
        <f>IFERROR(IF('入力シート'!$S206="表示",'入力シート'!G206,""),"")</f>
        <v/>
      </c>
      <c r="G206" s="3">
        <f>IFERROR(IF('入力シート'!$S206="表示",'入力シート'!I206,""),"")</f>
        <v/>
      </c>
      <c r="H206" s="11">
        <f>IFERROR(IF('入力シート'!$S206="表示",'入力シート'!R206,""),"")</f>
        <v/>
      </c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</row>
    <row r="207" ht="26.75" customHeight="1">
      <c r="A207" s="11">
        <f>IFERROR(IF('入力シート'!$S207="表示",'入力シート'!A207,""),"")</f>
        <v/>
      </c>
      <c r="B207" s="11">
        <f>IFERROR(IF('入力シート'!$S207="表示",'入力シート'!B207,""),"")</f>
        <v/>
      </c>
      <c r="C207" s="11">
        <f>IFERROR(IF('入力シート'!$S207="表示",'入力シート'!D207,""),"")</f>
        <v/>
      </c>
      <c r="D207" s="3">
        <f>IFERROR(IF('入力シート'!$S207="表示",'入力シート'!E207,""),"")</f>
        <v/>
      </c>
      <c r="E207" s="11">
        <f>IFERROR(IF('入力シート'!$S207="表示",'入力シート'!F207,""),"")</f>
        <v/>
      </c>
      <c r="F207" s="3">
        <f>IFERROR(IF('入力シート'!$S207="表示",'入力シート'!G207,""),"")</f>
        <v/>
      </c>
      <c r="G207" s="3">
        <f>IFERROR(IF('入力シート'!$S207="表示",'入力シート'!I207,""),"")</f>
        <v/>
      </c>
      <c r="H207" s="11">
        <f>IFERROR(IF('入力シート'!$S207="表示",'入力シート'!R207,""),"")</f>
        <v/>
      </c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</row>
    <row r="208" ht="26.75" customHeight="1">
      <c r="A208" s="11">
        <f>IFERROR(IF('入力シート'!$S208="表示",'入力シート'!A208,""),"")</f>
        <v/>
      </c>
      <c r="B208" s="11">
        <f>IFERROR(IF('入力シート'!$S208="表示",'入力シート'!B208,""),"")</f>
        <v/>
      </c>
      <c r="C208" s="11">
        <f>IFERROR(IF('入力シート'!$S208="表示",'入力シート'!D208,""),"")</f>
        <v/>
      </c>
      <c r="D208" s="3">
        <f>IFERROR(IF('入力シート'!$S208="表示",'入力シート'!E208,""),"")</f>
        <v/>
      </c>
      <c r="E208" s="11">
        <f>IFERROR(IF('入力シート'!$S208="表示",'入力シート'!F208,""),"")</f>
        <v/>
      </c>
      <c r="F208" s="3">
        <f>IFERROR(IF('入力シート'!$S208="表示",'入力シート'!G208,""),"")</f>
        <v/>
      </c>
      <c r="G208" s="3">
        <f>IFERROR(IF('入力シート'!$S208="表示",'入力シート'!I208,""),"")</f>
        <v/>
      </c>
      <c r="H208" s="11">
        <f>IFERROR(IF('入力シート'!$S208="表示",'入力シート'!R208,""),"")</f>
        <v/>
      </c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</row>
    <row r="209" ht="26.75" customHeight="1">
      <c r="A209" s="11">
        <f>IFERROR(IF('入力シート'!$S209="表示",'入力シート'!A209,""),"")</f>
        <v/>
      </c>
      <c r="B209" s="11">
        <f>IFERROR(IF('入力シート'!$S209="表示",'入力シート'!B209,""),"")</f>
        <v/>
      </c>
      <c r="C209" s="11">
        <f>IFERROR(IF('入力シート'!$S209="表示",'入力シート'!D209,""),"")</f>
        <v/>
      </c>
      <c r="D209" s="3">
        <f>IFERROR(IF('入力シート'!$S209="表示",'入力シート'!E209,""),"")</f>
        <v/>
      </c>
      <c r="E209" s="11">
        <f>IFERROR(IF('入力シート'!$S209="表示",'入力シート'!F209,""),"")</f>
        <v/>
      </c>
      <c r="F209" s="3">
        <f>IFERROR(IF('入力シート'!$S209="表示",'入力シート'!G209,""),"")</f>
        <v/>
      </c>
      <c r="G209" s="3">
        <f>IFERROR(IF('入力シート'!$S209="表示",'入力シート'!I209,""),"")</f>
        <v/>
      </c>
      <c r="H209" s="11">
        <f>IFERROR(IF('入力シート'!$S209="表示",'入力シート'!R209,""),"")</f>
        <v/>
      </c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</row>
    <row r="210" ht="26.75" customHeight="1">
      <c r="A210" s="11">
        <f>IFERROR(IF('入力シート'!$S210="表示",'入力シート'!A210,""),"")</f>
        <v/>
      </c>
      <c r="B210" s="11">
        <f>IFERROR(IF('入力シート'!$S210="表示",'入力シート'!B210,""),"")</f>
        <v/>
      </c>
      <c r="C210" s="11">
        <f>IFERROR(IF('入力シート'!$S210="表示",'入力シート'!D210,""),"")</f>
        <v/>
      </c>
      <c r="D210" s="3">
        <f>IFERROR(IF('入力シート'!$S210="表示",'入力シート'!E210,""),"")</f>
        <v/>
      </c>
      <c r="E210" s="11">
        <f>IFERROR(IF('入力シート'!$S210="表示",'入力シート'!F210,""),"")</f>
        <v/>
      </c>
      <c r="F210" s="3">
        <f>IFERROR(IF('入力シート'!$S210="表示",'入力シート'!G210,""),"")</f>
        <v/>
      </c>
      <c r="G210" s="3">
        <f>IFERROR(IF('入力シート'!$S210="表示",'入力シート'!I210,""),"")</f>
        <v/>
      </c>
      <c r="H210" s="11">
        <f>IFERROR(IF('入力シート'!$S210="表示",'入力シート'!R210,""),"")</f>
        <v/>
      </c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</row>
    <row r="211" ht="26.75" customHeight="1">
      <c r="A211" s="11">
        <f>IFERROR(IF('入力シート'!$S211="表示",'入力シート'!A211,""),"")</f>
        <v/>
      </c>
      <c r="B211" s="11">
        <f>IFERROR(IF('入力シート'!$S211="表示",'入力シート'!B211,""),"")</f>
        <v/>
      </c>
      <c r="C211" s="11">
        <f>IFERROR(IF('入力シート'!$S211="表示",'入力シート'!D211,""),"")</f>
        <v/>
      </c>
      <c r="D211" s="3">
        <f>IFERROR(IF('入力シート'!$S211="表示",'入力シート'!E211,""),"")</f>
        <v/>
      </c>
      <c r="E211" s="11">
        <f>IFERROR(IF('入力シート'!$S211="表示",'入力シート'!F211,""),"")</f>
        <v/>
      </c>
      <c r="F211" s="3">
        <f>IFERROR(IF('入力シート'!$S211="表示",'入力シート'!G211,""),"")</f>
        <v/>
      </c>
      <c r="G211" s="3">
        <f>IFERROR(IF('入力シート'!$S211="表示",'入力シート'!I211,""),"")</f>
        <v/>
      </c>
      <c r="H211" s="11">
        <f>IFERROR(IF('入力シート'!$S211="表示",'入力シート'!R211,""),"")</f>
        <v/>
      </c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</row>
    <row r="212" ht="26.75" customHeight="1">
      <c r="A212" s="11">
        <f>IFERROR(IF('入力シート'!$S212="表示",'入力シート'!A212,""),"")</f>
        <v/>
      </c>
      <c r="B212" s="11">
        <f>IFERROR(IF('入力シート'!$S212="表示",'入力シート'!B212,""),"")</f>
        <v/>
      </c>
      <c r="C212" s="11">
        <f>IFERROR(IF('入力シート'!$S212="表示",'入力シート'!D212,""),"")</f>
        <v/>
      </c>
      <c r="D212" s="3">
        <f>IFERROR(IF('入力シート'!$S212="表示",'入力シート'!E212,""),"")</f>
        <v/>
      </c>
      <c r="E212" s="11">
        <f>IFERROR(IF('入力シート'!$S212="表示",'入力シート'!F212,""),"")</f>
        <v/>
      </c>
      <c r="F212" s="3">
        <f>IFERROR(IF('入力シート'!$S212="表示",'入力シート'!G212,""),"")</f>
        <v/>
      </c>
      <c r="G212" s="3">
        <f>IFERROR(IF('入力シート'!$S212="表示",'入力シート'!I212,""),"")</f>
        <v/>
      </c>
      <c r="H212" s="11">
        <f>IFERROR(IF('入力シート'!$S212="表示",'入力シート'!R212,""),"")</f>
        <v/>
      </c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</row>
    <row r="213" ht="26.75" customHeight="1">
      <c r="A213" s="11">
        <f>IFERROR(IF('入力シート'!$S213="表示",'入力シート'!A213,""),"")</f>
        <v/>
      </c>
      <c r="B213" s="11">
        <f>IFERROR(IF('入力シート'!$S213="表示",'入力シート'!B213,""),"")</f>
        <v/>
      </c>
      <c r="C213" s="11">
        <f>IFERROR(IF('入力シート'!$S213="表示",'入力シート'!D213,""),"")</f>
        <v/>
      </c>
      <c r="D213" s="3">
        <f>IFERROR(IF('入力シート'!$S213="表示",'入力シート'!E213,""),"")</f>
        <v/>
      </c>
      <c r="E213" s="11">
        <f>IFERROR(IF('入力シート'!$S213="表示",'入力シート'!F213,""),"")</f>
        <v/>
      </c>
      <c r="F213" s="3">
        <f>IFERROR(IF('入力シート'!$S213="表示",'入力シート'!G213,""),"")</f>
        <v/>
      </c>
      <c r="G213" s="3">
        <f>IFERROR(IF('入力シート'!$S213="表示",'入力シート'!I213,""),"")</f>
        <v/>
      </c>
      <c r="H213" s="11">
        <f>IFERROR(IF('入力シート'!$S213="表示",'入力シート'!R213,""),"")</f>
        <v/>
      </c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</row>
    <row r="214" ht="26.75" customHeight="1">
      <c r="A214" s="11">
        <f>IFERROR(IF('入力シート'!$S214="表示",'入力シート'!A214,""),"")</f>
        <v/>
      </c>
      <c r="B214" s="11">
        <f>IFERROR(IF('入力シート'!$S214="表示",'入力シート'!B214,""),"")</f>
        <v/>
      </c>
      <c r="C214" s="11">
        <f>IFERROR(IF('入力シート'!$S214="表示",'入力シート'!D214,""),"")</f>
        <v/>
      </c>
      <c r="D214" s="3">
        <f>IFERROR(IF('入力シート'!$S214="表示",'入力シート'!E214,""),"")</f>
        <v/>
      </c>
      <c r="E214" s="11">
        <f>IFERROR(IF('入力シート'!$S214="表示",'入力シート'!F214,""),"")</f>
        <v/>
      </c>
      <c r="F214" s="3">
        <f>IFERROR(IF('入力シート'!$S214="表示",'入力シート'!G214,""),"")</f>
        <v/>
      </c>
      <c r="G214" s="3">
        <f>IFERROR(IF('入力シート'!$S214="表示",'入力シート'!I214,""),"")</f>
        <v/>
      </c>
      <c r="H214" s="11">
        <f>IFERROR(IF('入力シート'!$S214="表示",'入力シート'!R214,""),"")</f>
        <v/>
      </c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</row>
    <row r="215" ht="26.75" customHeight="1">
      <c r="A215" s="11">
        <f>IFERROR(IF('入力シート'!$S215="表示",'入力シート'!A215,""),"")</f>
        <v/>
      </c>
      <c r="B215" s="11">
        <f>IFERROR(IF('入力シート'!$S215="表示",'入力シート'!B215,""),"")</f>
        <v/>
      </c>
      <c r="C215" s="11">
        <f>IFERROR(IF('入力シート'!$S215="表示",'入力シート'!D215,""),"")</f>
        <v/>
      </c>
      <c r="D215" s="3">
        <f>IFERROR(IF('入力シート'!$S215="表示",'入力シート'!E215,""),"")</f>
        <v/>
      </c>
      <c r="E215" s="11">
        <f>IFERROR(IF('入力シート'!$S215="表示",'入力シート'!F215,""),"")</f>
        <v/>
      </c>
      <c r="F215" s="3">
        <f>IFERROR(IF('入力シート'!$S215="表示",'入力シート'!G215,""),"")</f>
        <v/>
      </c>
      <c r="G215" s="3">
        <f>IFERROR(IF('入力シート'!$S215="表示",'入力シート'!I215,""),"")</f>
        <v/>
      </c>
      <c r="H215" s="11">
        <f>IFERROR(IF('入力シート'!$S215="表示",'入力シート'!R215,""),"")</f>
        <v/>
      </c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</row>
    <row r="216" ht="26.75" customHeight="1">
      <c r="A216" s="11">
        <f>IFERROR(IF('入力シート'!$S216="表示",'入力シート'!A216,""),"")</f>
        <v/>
      </c>
      <c r="B216" s="11">
        <f>IFERROR(IF('入力シート'!$S216="表示",'入力シート'!B216,""),"")</f>
        <v/>
      </c>
      <c r="C216" s="11">
        <f>IFERROR(IF('入力シート'!$S216="表示",'入力シート'!D216,""),"")</f>
        <v/>
      </c>
      <c r="D216" s="3">
        <f>IFERROR(IF('入力シート'!$S216="表示",'入力シート'!E216,""),"")</f>
        <v/>
      </c>
      <c r="E216" s="11">
        <f>IFERROR(IF('入力シート'!$S216="表示",'入力シート'!F216,""),"")</f>
        <v/>
      </c>
      <c r="F216" s="3">
        <f>IFERROR(IF('入力シート'!$S216="表示",'入力シート'!G216,""),"")</f>
        <v/>
      </c>
      <c r="G216" s="3">
        <f>IFERROR(IF('入力シート'!$S216="表示",'入力シート'!I216,""),"")</f>
        <v/>
      </c>
      <c r="H216" s="11">
        <f>IFERROR(IF('入力シート'!$S216="表示",'入力シート'!R216,""),"")</f>
        <v/>
      </c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</row>
    <row r="217" ht="26.75" customHeight="1">
      <c r="A217" s="11">
        <f>IFERROR(IF('入力シート'!$S217="表示",'入力シート'!A217,""),"")</f>
        <v/>
      </c>
      <c r="B217" s="11">
        <f>IFERROR(IF('入力シート'!$S217="表示",'入力シート'!B217,""),"")</f>
        <v/>
      </c>
      <c r="C217" s="11">
        <f>IFERROR(IF('入力シート'!$S217="表示",'入力シート'!D217,""),"")</f>
        <v/>
      </c>
      <c r="D217" s="3">
        <f>IFERROR(IF('入力シート'!$S217="表示",'入力シート'!E217,""),"")</f>
        <v/>
      </c>
      <c r="E217" s="11">
        <f>IFERROR(IF('入力シート'!$S217="表示",'入力シート'!F217,""),"")</f>
        <v/>
      </c>
      <c r="F217" s="3">
        <f>IFERROR(IF('入力シート'!$S217="表示",'入力シート'!G217,""),"")</f>
        <v/>
      </c>
      <c r="G217" s="3">
        <f>IFERROR(IF('入力シート'!$S217="表示",'入力シート'!I217,""),"")</f>
        <v/>
      </c>
      <c r="H217" s="11">
        <f>IFERROR(IF('入力シート'!$S217="表示",'入力シート'!R217,""),"")</f>
        <v/>
      </c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</row>
    <row r="218" ht="26.75" customHeight="1">
      <c r="A218" s="11">
        <f>IFERROR(IF('入力シート'!$S218="表示",'入力シート'!A218,""),"")</f>
        <v/>
      </c>
      <c r="B218" s="11">
        <f>IFERROR(IF('入力シート'!$S218="表示",'入力シート'!B218,""),"")</f>
        <v/>
      </c>
      <c r="C218" s="11">
        <f>IFERROR(IF('入力シート'!$S218="表示",'入力シート'!D218,""),"")</f>
        <v/>
      </c>
      <c r="D218" s="3">
        <f>IFERROR(IF('入力シート'!$S218="表示",'入力シート'!E218,""),"")</f>
        <v/>
      </c>
      <c r="E218" s="11">
        <f>IFERROR(IF('入力シート'!$S218="表示",'入力シート'!F218,""),"")</f>
        <v/>
      </c>
      <c r="F218" s="3">
        <f>IFERROR(IF('入力シート'!$S218="表示",'入力シート'!G218,""),"")</f>
        <v/>
      </c>
      <c r="G218" s="3">
        <f>IFERROR(IF('入力シート'!$S218="表示",'入力シート'!I218,""),"")</f>
        <v/>
      </c>
      <c r="H218" s="11">
        <f>IFERROR(IF('入力シート'!$S218="表示",'入力シート'!R218,""),"")</f>
        <v/>
      </c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</row>
    <row r="219" ht="26.75" customHeight="1">
      <c r="A219" s="11">
        <f>IFERROR(IF('入力シート'!$S219="表示",'入力シート'!A219,""),"")</f>
        <v/>
      </c>
      <c r="B219" s="11">
        <f>IFERROR(IF('入力シート'!$S219="表示",'入力シート'!B219,""),"")</f>
        <v/>
      </c>
      <c r="C219" s="11">
        <f>IFERROR(IF('入力シート'!$S219="表示",'入力シート'!D219,""),"")</f>
        <v/>
      </c>
      <c r="D219" s="3">
        <f>IFERROR(IF('入力シート'!$S219="表示",'入力シート'!E219,""),"")</f>
        <v/>
      </c>
      <c r="E219" s="11">
        <f>IFERROR(IF('入力シート'!$S219="表示",'入力シート'!F219,""),"")</f>
        <v/>
      </c>
      <c r="F219" s="3">
        <f>IFERROR(IF('入力シート'!$S219="表示",'入力シート'!G219,""),"")</f>
        <v/>
      </c>
      <c r="G219" s="3">
        <f>IFERROR(IF('入力シート'!$S219="表示",'入力シート'!I219,""),"")</f>
        <v/>
      </c>
      <c r="H219" s="11">
        <f>IFERROR(IF('入力シート'!$S219="表示",'入力シート'!R219,""),"")</f>
        <v/>
      </c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</row>
    <row r="220" ht="26.75" customHeight="1">
      <c r="A220" s="11">
        <f>IFERROR(IF('入力シート'!$S220="表示",'入力シート'!A220,""),"")</f>
        <v/>
      </c>
      <c r="B220" s="11">
        <f>IFERROR(IF('入力シート'!$S220="表示",'入力シート'!B220,""),"")</f>
        <v/>
      </c>
      <c r="C220" s="11">
        <f>IFERROR(IF('入力シート'!$S220="表示",'入力シート'!D220,""),"")</f>
        <v/>
      </c>
      <c r="D220" s="3">
        <f>IFERROR(IF('入力シート'!$S220="表示",'入力シート'!E220,""),"")</f>
        <v/>
      </c>
      <c r="E220" s="11">
        <f>IFERROR(IF('入力シート'!$S220="表示",'入力シート'!F220,""),"")</f>
        <v/>
      </c>
      <c r="F220" s="3">
        <f>IFERROR(IF('入力シート'!$S220="表示",'入力シート'!G220,""),"")</f>
        <v/>
      </c>
      <c r="G220" s="3">
        <f>IFERROR(IF('入力シート'!$S220="表示",'入力シート'!I220,""),"")</f>
        <v/>
      </c>
      <c r="H220" s="11">
        <f>IFERROR(IF('入力シート'!$S220="表示",'入力シート'!R220,""),"")</f>
        <v/>
      </c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</row>
    <row r="221" ht="26.75" customHeight="1">
      <c r="A221" s="11">
        <f>IFERROR(IF('入力シート'!$S221="表示",'入力シート'!A221,""),"")</f>
        <v/>
      </c>
      <c r="B221" s="11">
        <f>IFERROR(IF('入力シート'!$S221="表示",'入力シート'!B221,""),"")</f>
        <v/>
      </c>
      <c r="C221" s="11">
        <f>IFERROR(IF('入力シート'!$S221="表示",'入力シート'!D221,""),"")</f>
        <v/>
      </c>
      <c r="D221" s="3">
        <f>IFERROR(IF('入力シート'!$S221="表示",'入力シート'!E221,""),"")</f>
        <v/>
      </c>
      <c r="E221" s="11">
        <f>IFERROR(IF('入力シート'!$S221="表示",'入力シート'!F221,""),"")</f>
        <v/>
      </c>
      <c r="F221" s="3">
        <f>IFERROR(IF('入力シート'!$S221="表示",'入力シート'!G221,""),"")</f>
        <v/>
      </c>
      <c r="G221" s="3">
        <f>IFERROR(IF('入力シート'!$S221="表示",'入力シート'!I221,""),"")</f>
        <v/>
      </c>
      <c r="H221" s="11">
        <f>IFERROR(IF('入力シート'!$S221="表示",'入力シート'!R221,""),"")</f>
        <v/>
      </c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</row>
    <row r="222" ht="26.75" customHeight="1">
      <c r="A222" s="11">
        <f>IFERROR(IF('入力シート'!$S222="表示",'入力シート'!A222,""),"")</f>
        <v/>
      </c>
      <c r="B222" s="11">
        <f>IFERROR(IF('入力シート'!$S222="表示",'入力シート'!B222,""),"")</f>
        <v/>
      </c>
      <c r="C222" s="11">
        <f>IFERROR(IF('入力シート'!$S222="表示",'入力シート'!D222,""),"")</f>
        <v/>
      </c>
      <c r="D222" s="3">
        <f>IFERROR(IF('入力シート'!$S222="表示",'入力シート'!E222,""),"")</f>
        <v/>
      </c>
      <c r="E222" s="11">
        <f>IFERROR(IF('入力シート'!$S222="表示",'入力シート'!F222,""),"")</f>
        <v/>
      </c>
      <c r="F222" s="3">
        <f>IFERROR(IF('入力シート'!$S222="表示",'入力シート'!G222,""),"")</f>
        <v/>
      </c>
      <c r="G222" s="3">
        <f>IFERROR(IF('入力シート'!$S222="表示",'入力シート'!I222,""),"")</f>
        <v/>
      </c>
      <c r="H222" s="11">
        <f>IFERROR(IF('入力シート'!$S222="表示",'入力シート'!R222,""),"")</f>
        <v/>
      </c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</row>
    <row r="223" ht="26.75" customHeight="1">
      <c r="A223" s="11">
        <f>IFERROR(IF('入力シート'!$S223="表示",'入力シート'!A223,""),"")</f>
        <v/>
      </c>
      <c r="B223" s="11">
        <f>IFERROR(IF('入力シート'!$S223="表示",'入力シート'!B223,""),"")</f>
        <v/>
      </c>
      <c r="C223" s="11">
        <f>IFERROR(IF('入力シート'!$S223="表示",'入力シート'!D223,""),"")</f>
        <v/>
      </c>
      <c r="D223" s="3">
        <f>IFERROR(IF('入力シート'!$S223="表示",'入力シート'!E223,""),"")</f>
        <v/>
      </c>
      <c r="E223" s="11">
        <f>IFERROR(IF('入力シート'!$S223="表示",'入力シート'!F223,""),"")</f>
        <v/>
      </c>
      <c r="F223" s="3">
        <f>IFERROR(IF('入力シート'!$S223="表示",'入力シート'!G223,""),"")</f>
        <v/>
      </c>
      <c r="G223" s="3">
        <f>IFERROR(IF('入力シート'!$S223="表示",'入力シート'!I223,""),"")</f>
        <v/>
      </c>
      <c r="H223" s="11">
        <f>IFERROR(IF('入力シート'!$S223="表示",'入力シート'!R223,""),"")</f>
        <v/>
      </c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</row>
    <row r="224" ht="26.75" customHeight="1">
      <c r="A224" s="11">
        <f>IFERROR(IF('入力シート'!$S224="表示",'入力シート'!A224,""),"")</f>
        <v/>
      </c>
      <c r="B224" s="11">
        <f>IFERROR(IF('入力シート'!$S224="表示",'入力シート'!B224,""),"")</f>
        <v/>
      </c>
      <c r="C224" s="11">
        <f>IFERROR(IF('入力シート'!$S224="表示",'入力シート'!D224,""),"")</f>
        <v/>
      </c>
      <c r="D224" s="3">
        <f>IFERROR(IF('入力シート'!$S224="表示",'入力シート'!E224,""),"")</f>
        <v/>
      </c>
      <c r="E224" s="11">
        <f>IFERROR(IF('入力シート'!$S224="表示",'入力シート'!F224,""),"")</f>
        <v/>
      </c>
      <c r="F224" s="3">
        <f>IFERROR(IF('入力シート'!$S224="表示",'入力シート'!G224,""),"")</f>
        <v/>
      </c>
      <c r="G224" s="3">
        <f>IFERROR(IF('入力シート'!$S224="表示",'入力シート'!I224,""),"")</f>
        <v/>
      </c>
      <c r="H224" s="11">
        <f>IFERROR(IF('入力シート'!$S224="表示",'入力シート'!R224,""),"")</f>
        <v/>
      </c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</row>
    <row r="225" ht="26.75" customHeight="1">
      <c r="A225" s="11">
        <f>IFERROR(IF('入力シート'!$S225="表示",'入力シート'!A225,""),"")</f>
        <v/>
      </c>
      <c r="B225" s="11">
        <f>IFERROR(IF('入力シート'!$S225="表示",'入力シート'!B225,""),"")</f>
        <v/>
      </c>
      <c r="C225" s="11">
        <f>IFERROR(IF('入力シート'!$S225="表示",'入力シート'!D225,""),"")</f>
        <v/>
      </c>
      <c r="D225" s="3">
        <f>IFERROR(IF('入力シート'!$S225="表示",'入力シート'!E225,""),"")</f>
        <v/>
      </c>
      <c r="E225" s="11">
        <f>IFERROR(IF('入力シート'!$S225="表示",'入力シート'!F225,""),"")</f>
        <v/>
      </c>
      <c r="F225" s="3">
        <f>IFERROR(IF('入力シート'!$S225="表示",'入力シート'!G225,""),"")</f>
        <v/>
      </c>
      <c r="G225" s="3">
        <f>IFERROR(IF('入力シート'!$S225="表示",'入力シート'!I225,""),"")</f>
        <v/>
      </c>
      <c r="H225" s="11">
        <f>IFERROR(IF('入力シート'!$S225="表示",'入力シート'!R225,""),"")</f>
        <v/>
      </c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</row>
    <row r="226" ht="26.75" customHeight="1">
      <c r="A226" s="11">
        <f>IFERROR(IF('入力シート'!$S226="表示",'入力シート'!A226,""),"")</f>
        <v/>
      </c>
      <c r="B226" s="11">
        <f>IFERROR(IF('入力シート'!$S226="表示",'入力シート'!B226,""),"")</f>
        <v/>
      </c>
      <c r="C226" s="11">
        <f>IFERROR(IF('入力シート'!$S226="表示",'入力シート'!D226,""),"")</f>
        <v/>
      </c>
      <c r="D226" s="3">
        <f>IFERROR(IF('入力シート'!$S226="表示",'入力シート'!E226,""),"")</f>
        <v/>
      </c>
      <c r="E226" s="11">
        <f>IFERROR(IF('入力シート'!$S226="表示",'入力シート'!F226,""),"")</f>
        <v/>
      </c>
      <c r="F226" s="3">
        <f>IFERROR(IF('入力シート'!$S226="表示",'入力シート'!G226,""),"")</f>
        <v/>
      </c>
      <c r="G226" s="3">
        <f>IFERROR(IF('入力シート'!$S226="表示",'入力シート'!I226,""),"")</f>
        <v/>
      </c>
      <c r="H226" s="11">
        <f>IFERROR(IF('入力シート'!$S226="表示",'入力シート'!R226,""),"")</f>
        <v/>
      </c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</row>
    <row r="227" ht="26.75" customHeight="1">
      <c r="A227" s="11">
        <f>IFERROR(IF('入力シート'!$S227="表示",'入力シート'!A227,""),"")</f>
        <v/>
      </c>
      <c r="B227" s="11">
        <f>IFERROR(IF('入力シート'!$S227="表示",'入力シート'!B227,""),"")</f>
        <v/>
      </c>
      <c r="C227" s="11">
        <f>IFERROR(IF('入力シート'!$S227="表示",'入力シート'!D227,""),"")</f>
        <v/>
      </c>
      <c r="D227" s="3">
        <f>IFERROR(IF('入力シート'!$S227="表示",'入力シート'!E227,""),"")</f>
        <v/>
      </c>
      <c r="E227" s="11">
        <f>IFERROR(IF('入力シート'!$S227="表示",'入力シート'!F227,""),"")</f>
        <v/>
      </c>
      <c r="F227" s="3">
        <f>IFERROR(IF('入力シート'!$S227="表示",'入力シート'!G227,""),"")</f>
        <v/>
      </c>
      <c r="G227" s="3">
        <f>IFERROR(IF('入力シート'!$S227="表示",'入力シート'!I227,""),"")</f>
        <v/>
      </c>
      <c r="H227" s="11">
        <f>IFERROR(IF('入力シート'!$S227="表示",'入力シート'!R227,""),"")</f>
        <v/>
      </c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</row>
    <row r="228" ht="26.75" customHeight="1">
      <c r="A228" s="11">
        <f>IFERROR(IF('入力シート'!$S228="表示",'入力シート'!A228,""),"")</f>
        <v/>
      </c>
      <c r="B228" s="11">
        <f>IFERROR(IF('入力シート'!$S228="表示",'入力シート'!B228,""),"")</f>
        <v/>
      </c>
      <c r="C228" s="11">
        <f>IFERROR(IF('入力シート'!$S228="表示",'入力シート'!D228,""),"")</f>
        <v/>
      </c>
      <c r="D228" s="3">
        <f>IFERROR(IF('入力シート'!$S228="表示",'入力シート'!E228,""),"")</f>
        <v/>
      </c>
      <c r="E228" s="11">
        <f>IFERROR(IF('入力シート'!$S228="表示",'入力シート'!F228,""),"")</f>
        <v/>
      </c>
      <c r="F228" s="3">
        <f>IFERROR(IF('入力シート'!$S228="表示",'入力シート'!G228,""),"")</f>
        <v/>
      </c>
      <c r="G228" s="3">
        <f>IFERROR(IF('入力シート'!$S228="表示",'入力シート'!I228,""),"")</f>
        <v/>
      </c>
      <c r="H228" s="11">
        <f>IFERROR(IF('入力シート'!$S228="表示",'入力シート'!R228,""),"")</f>
        <v/>
      </c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</row>
    <row r="229" ht="26.75" customHeight="1">
      <c r="A229" s="11">
        <f>IFERROR(IF('入力シート'!$S229="表示",'入力シート'!A229,""),"")</f>
        <v/>
      </c>
      <c r="B229" s="11">
        <f>IFERROR(IF('入力シート'!$S229="表示",'入力シート'!B229,""),"")</f>
        <v/>
      </c>
      <c r="C229" s="11">
        <f>IFERROR(IF('入力シート'!$S229="表示",'入力シート'!D229,""),"")</f>
        <v/>
      </c>
      <c r="D229" s="3">
        <f>IFERROR(IF('入力シート'!$S229="表示",'入力シート'!E229,""),"")</f>
        <v/>
      </c>
      <c r="E229" s="11">
        <f>IFERROR(IF('入力シート'!$S229="表示",'入力シート'!F229,""),"")</f>
        <v/>
      </c>
      <c r="F229" s="3">
        <f>IFERROR(IF('入力シート'!$S229="表示",'入力シート'!G229,""),"")</f>
        <v/>
      </c>
      <c r="G229" s="3">
        <f>IFERROR(IF('入力シート'!$S229="表示",'入力シート'!I229,""),"")</f>
        <v/>
      </c>
      <c r="H229" s="11">
        <f>IFERROR(IF('入力シート'!$S229="表示",'入力シート'!R229,""),"")</f>
        <v/>
      </c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</row>
    <row r="230" ht="26.75" customHeight="1">
      <c r="A230" s="11">
        <f>IFERROR(IF('入力シート'!$S230="表示",'入力シート'!A230,""),"")</f>
        <v/>
      </c>
      <c r="B230" s="11">
        <f>IFERROR(IF('入力シート'!$S230="表示",'入力シート'!B230,""),"")</f>
        <v/>
      </c>
      <c r="C230" s="11">
        <f>IFERROR(IF('入力シート'!$S230="表示",'入力シート'!D230,""),"")</f>
        <v/>
      </c>
      <c r="D230" s="3">
        <f>IFERROR(IF('入力シート'!$S230="表示",'入力シート'!E230,""),"")</f>
        <v/>
      </c>
      <c r="E230" s="11">
        <f>IFERROR(IF('入力シート'!$S230="表示",'入力シート'!F230,""),"")</f>
        <v/>
      </c>
      <c r="F230" s="3">
        <f>IFERROR(IF('入力シート'!$S230="表示",'入力シート'!G230,""),"")</f>
        <v/>
      </c>
      <c r="G230" s="3">
        <f>IFERROR(IF('入力シート'!$S230="表示",'入力シート'!I230,""),"")</f>
        <v/>
      </c>
      <c r="H230" s="11">
        <f>IFERROR(IF('入力シート'!$S230="表示",'入力シート'!R230,""),"")</f>
        <v/>
      </c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</row>
    <row r="231" ht="26.75" customHeight="1">
      <c r="A231" s="11">
        <f>IFERROR(IF('入力シート'!$S231="表示",'入力シート'!A231,""),"")</f>
        <v/>
      </c>
      <c r="B231" s="11">
        <f>IFERROR(IF('入力シート'!$S231="表示",'入力シート'!B231,""),"")</f>
        <v/>
      </c>
      <c r="C231" s="11">
        <f>IFERROR(IF('入力シート'!$S231="表示",'入力シート'!D231,""),"")</f>
        <v/>
      </c>
      <c r="D231" s="3">
        <f>IFERROR(IF('入力シート'!$S231="表示",'入力シート'!E231,""),"")</f>
        <v/>
      </c>
      <c r="E231" s="11">
        <f>IFERROR(IF('入力シート'!$S231="表示",'入力シート'!F231,""),"")</f>
        <v/>
      </c>
      <c r="F231" s="3">
        <f>IFERROR(IF('入力シート'!$S231="表示",'入力シート'!G231,""),"")</f>
        <v/>
      </c>
      <c r="G231" s="3">
        <f>IFERROR(IF('入力シート'!$S231="表示",'入力シート'!I231,""),"")</f>
        <v/>
      </c>
      <c r="H231" s="11">
        <f>IFERROR(IF('入力シート'!$S231="表示",'入力シート'!R231,""),"")</f>
        <v/>
      </c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</row>
    <row r="232" ht="26.75" customHeight="1">
      <c r="A232" s="11">
        <f>IFERROR(IF('入力シート'!$S232="表示",'入力シート'!A232,""),"")</f>
        <v/>
      </c>
      <c r="B232" s="11">
        <f>IFERROR(IF('入力シート'!$S232="表示",'入力シート'!B232,""),"")</f>
        <v/>
      </c>
      <c r="C232" s="11">
        <f>IFERROR(IF('入力シート'!$S232="表示",'入力シート'!D232,""),"")</f>
        <v/>
      </c>
      <c r="D232" s="3">
        <f>IFERROR(IF('入力シート'!$S232="表示",'入力シート'!E232,""),"")</f>
        <v/>
      </c>
      <c r="E232" s="11">
        <f>IFERROR(IF('入力シート'!$S232="表示",'入力シート'!F232,""),"")</f>
        <v/>
      </c>
      <c r="F232" s="3">
        <f>IFERROR(IF('入力シート'!$S232="表示",'入力シート'!G232,""),"")</f>
        <v/>
      </c>
      <c r="G232" s="3">
        <f>IFERROR(IF('入力シート'!$S232="表示",'入力シート'!I232,""),"")</f>
        <v/>
      </c>
      <c r="H232" s="11">
        <f>IFERROR(IF('入力シート'!$S232="表示",'入力シート'!R232,""),"")</f>
        <v/>
      </c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</row>
    <row r="233" ht="26.75" customHeight="1">
      <c r="A233" s="11">
        <f>IFERROR(IF('入力シート'!$S233="表示",'入力シート'!A233,""),"")</f>
        <v/>
      </c>
      <c r="B233" s="11">
        <f>IFERROR(IF('入力シート'!$S233="表示",'入力シート'!B233,""),"")</f>
        <v/>
      </c>
      <c r="C233" s="11">
        <f>IFERROR(IF('入力シート'!$S233="表示",'入力シート'!D233,""),"")</f>
        <v/>
      </c>
      <c r="D233" s="3">
        <f>IFERROR(IF('入力シート'!$S233="表示",'入力シート'!E233,""),"")</f>
        <v/>
      </c>
      <c r="E233" s="11">
        <f>IFERROR(IF('入力シート'!$S233="表示",'入力シート'!F233,""),"")</f>
        <v/>
      </c>
      <c r="F233" s="3">
        <f>IFERROR(IF('入力シート'!$S233="表示",'入力シート'!G233,""),"")</f>
        <v/>
      </c>
      <c r="G233" s="3">
        <f>IFERROR(IF('入力シート'!$S233="表示",'入力シート'!I233,""),"")</f>
        <v/>
      </c>
      <c r="H233" s="11">
        <f>IFERROR(IF('入力シート'!$S233="表示",'入力シート'!R233,""),"")</f>
        <v/>
      </c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</row>
    <row r="234" ht="26.75" customHeight="1">
      <c r="A234" s="11">
        <f>IFERROR(IF('入力シート'!$S234="表示",'入力シート'!A234,""),"")</f>
        <v/>
      </c>
      <c r="B234" s="11">
        <f>IFERROR(IF('入力シート'!$S234="表示",'入力シート'!B234,""),"")</f>
        <v/>
      </c>
      <c r="C234" s="11">
        <f>IFERROR(IF('入力シート'!$S234="表示",'入力シート'!D234,""),"")</f>
        <v/>
      </c>
      <c r="D234" s="3">
        <f>IFERROR(IF('入力シート'!$S234="表示",'入力シート'!E234,""),"")</f>
        <v/>
      </c>
      <c r="E234" s="11">
        <f>IFERROR(IF('入力シート'!$S234="表示",'入力シート'!F234,""),"")</f>
        <v/>
      </c>
      <c r="F234" s="3">
        <f>IFERROR(IF('入力シート'!$S234="表示",'入力シート'!G234,""),"")</f>
        <v/>
      </c>
      <c r="G234" s="3">
        <f>IFERROR(IF('入力シート'!$S234="表示",'入力シート'!I234,""),"")</f>
        <v/>
      </c>
      <c r="H234" s="11">
        <f>IFERROR(IF('入力シート'!$S234="表示",'入力シート'!R234,""),"")</f>
        <v/>
      </c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</row>
    <row r="235" ht="26.75" customHeight="1">
      <c r="A235" s="11">
        <f>IFERROR(IF('入力シート'!$S235="表示",'入力シート'!A235,""),"")</f>
        <v/>
      </c>
      <c r="B235" s="11">
        <f>IFERROR(IF('入力シート'!$S235="表示",'入力シート'!B235,""),"")</f>
        <v/>
      </c>
      <c r="C235" s="11">
        <f>IFERROR(IF('入力シート'!$S235="表示",'入力シート'!D235,""),"")</f>
        <v/>
      </c>
      <c r="D235" s="3">
        <f>IFERROR(IF('入力シート'!$S235="表示",'入力シート'!E235,""),"")</f>
        <v/>
      </c>
      <c r="E235" s="11">
        <f>IFERROR(IF('入力シート'!$S235="表示",'入力シート'!F235,""),"")</f>
        <v/>
      </c>
      <c r="F235" s="3">
        <f>IFERROR(IF('入力シート'!$S235="表示",'入力シート'!G235,""),"")</f>
        <v/>
      </c>
      <c r="G235" s="3">
        <f>IFERROR(IF('入力シート'!$S235="表示",'入力シート'!I235,""),"")</f>
        <v/>
      </c>
      <c r="H235" s="11">
        <f>IFERROR(IF('入力シート'!$S235="表示",'入力シート'!R235,""),"")</f>
        <v/>
      </c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</row>
    <row r="236" ht="26.75" customHeight="1">
      <c r="A236" s="11">
        <f>IFERROR(IF('入力シート'!$S236="表示",'入力シート'!A236,""),"")</f>
        <v/>
      </c>
      <c r="B236" s="11">
        <f>IFERROR(IF('入力シート'!$S236="表示",'入力シート'!B236,""),"")</f>
        <v/>
      </c>
      <c r="C236" s="11">
        <f>IFERROR(IF('入力シート'!$S236="表示",'入力シート'!D236,""),"")</f>
        <v/>
      </c>
      <c r="D236" s="3">
        <f>IFERROR(IF('入力シート'!$S236="表示",'入力シート'!E236,""),"")</f>
        <v/>
      </c>
      <c r="E236" s="11">
        <f>IFERROR(IF('入力シート'!$S236="表示",'入力シート'!F236,""),"")</f>
        <v/>
      </c>
      <c r="F236" s="3">
        <f>IFERROR(IF('入力シート'!$S236="表示",'入力シート'!G236,""),"")</f>
        <v/>
      </c>
      <c r="G236" s="3">
        <f>IFERROR(IF('入力シート'!$S236="表示",'入力シート'!I236,""),"")</f>
        <v/>
      </c>
      <c r="H236" s="11">
        <f>IFERROR(IF('入力シート'!$S236="表示",'入力シート'!R236,""),"")</f>
        <v/>
      </c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</row>
    <row r="237" ht="26.75" customHeight="1">
      <c r="A237" s="11">
        <f>IFERROR(IF('入力シート'!$S237="表示",'入力シート'!A237,""),"")</f>
        <v/>
      </c>
      <c r="B237" s="11">
        <f>IFERROR(IF('入力シート'!$S237="表示",'入力シート'!B237,""),"")</f>
        <v/>
      </c>
      <c r="C237" s="11">
        <f>IFERROR(IF('入力シート'!$S237="表示",'入力シート'!D237,""),"")</f>
        <v/>
      </c>
      <c r="D237" s="3">
        <f>IFERROR(IF('入力シート'!$S237="表示",'入力シート'!E237,""),"")</f>
        <v/>
      </c>
      <c r="E237" s="11">
        <f>IFERROR(IF('入力シート'!$S237="表示",'入力シート'!F237,""),"")</f>
        <v/>
      </c>
      <c r="F237" s="3">
        <f>IFERROR(IF('入力シート'!$S237="表示",'入力シート'!G237,""),"")</f>
        <v/>
      </c>
      <c r="G237" s="3">
        <f>IFERROR(IF('入力シート'!$S237="表示",'入力シート'!I237,""),"")</f>
        <v/>
      </c>
      <c r="H237" s="11">
        <f>IFERROR(IF('入力シート'!$S237="表示",'入力シート'!R237,""),"")</f>
        <v/>
      </c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</row>
    <row r="238" ht="26.75" customHeight="1">
      <c r="A238" s="11">
        <f>IFERROR(IF('入力シート'!$S238="表示",'入力シート'!A238,""),"")</f>
        <v/>
      </c>
      <c r="B238" s="11">
        <f>IFERROR(IF('入力シート'!$S238="表示",'入力シート'!B238,""),"")</f>
        <v/>
      </c>
      <c r="C238" s="11">
        <f>IFERROR(IF('入力シート'!$S238="表示",'入力シート'!D238,""),"")</f>
        <v/>
      </c>
      <c r="D238" s="3">
        <f>IFERROR(IF('入力シート'!$S238="表示",'入力シート'!E238,""),"")</f>
        <v/>
      </c>
      <c r="E238" s="11">
        <f>IFERROR(IF('入力シート'!$S238="表示",'入力シート'!F238,""),"")</f>
        <v/>
      </c>
      <c r="F238" s="3">
        <f>IFERROR(IF('入力シート'!$S238="表示",'入力シート'!G238,""),"")</f>
        <v/>
      </c>
      <c r="G238" s="3">
        <f>IFERROR(IF('入力シート'!$S238="表示",'入力シート'!I238,""),"")</f>
        <v/>
      </c>
      <c r="H238" s="11">
        <f>IFERROR(IF('入力シート'!$S238="表示",'入力シート'!R238,""),"")</f>
        <v/>
      </c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</row>
    <row r="239" ht="26.75" customHeight="1">
      <c r="A239" s="11">
        <f>IFERROR(IF('入力シート'!$S239="表示",'入力シート'!A239,""),"")</f>
        <v/>
      </c>
      <c r="B239" s="11">
        <f>IFERROR(IF('入力シート'!$S239="表示",'入力シート'!B239,""),"")</f>
        <v/>
      </c>
      <c r="C239" s="11">
        <f>IFERROR(IF('入力シート'!$S239="表示",'入力シート'!D239,""),"")</f>
        <v/>
      </c>
      <c r="D239" s="3">
        <f>IFERROR(IF('入力シート'!$S239="表示",'入力シート'!E239,""),"")</f>
        <v/>
      </c>
      <c r="E239" s="11">
        <f>IFERROR(IF('入力シート'!$S239="表示",'入力シート'!F239,""),"")</f>
        <v/>
      </c>
      <c r="F239" s="3">
        <f>IFERROR(IF('入力シート'!$S239="表示",'入力シート'!G239,""),"")</f>
        <v/>
      </c>
      <c r="G239" s="3">
        <f>IFERROR(IF('入力シート'!$S239="表示",'入力シート'!I239,""),"")</f>
        <v/>
      </c>
      <c r="H239" s="11">
        <f>IFERROR(IF('入力シート'!$S239="表示",'入力シート'!R239,""),"")</f>
        <v/>
      </c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</row>
    <row r="240" ht="26.75" customHeight="1">
      <c r="A240" s="11">
        <f>IFERROR(IF('入力シート'!$S240="表示",'入力シート'!A240,""),"")</f>
        <v/>
      </c>
      <c r="B240" s="11">
        <f>IFERROR(IF('入力シート'!$S240="表示",'入力シート'!B240,""),"")</f>
        <v/>
      </c>
      <c r="C240" s="11">
        <f>IFERROR(IF('入力シート'!$S240="表示",'入力シート'!D240,""),"")</f>
        <v/>
      </c>
      <c r="D240" s="3">
        <f>IFERROR(IF('入力シート'!$S240="表示",'入力シート'!E240,""),"")</f>
        <v/>
      </c>
      <c r="E240" s="11">
        <f>IFERROR(IF('入力シート'!$S240="表示",'入力シート'!F240,""),"")</f>
        <v/>
      </c>
      <c r="F240" s="3">
        <f>IFERROR(IF('入力シート'!$S240="表示",'入力シート'!G240,""),"")</f>
        <v/>
      </c>
      <c r="G240" s="3">
        <f>IFERROR(IF('入力シート'!$S240="表示",'入力シート'!I240,""),"")</f>
        <v/>
      </c>
      <c r="H240" s="11">
        <f>IFERROR(IF('入力シート'!$S240="表示",'入力シート'!R240,""),"")</f>
        <v/>
      </c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</row>
    <row r="241" ht="26.75" customHeight="1">
      <c r="A241" s="11">
        <f>IFERROR(IF('入力シート'!$S241="表示",'入力シート'!A241,""),"")</f>
        <v/>
      </c>
      <c r="B241" s="11">
        <f>IFERROR(IF('入力シート'!$S241="表示",'入力シート'!B241,""),"")</f>
        <v/>
      </c>
      <c r="C241" s="11">
        <f>IFERROR(IF('入力シート'!$S241="表示",'入力シート'!D241,""),"")</f>
        <v/>
      </c>
      <c r="D241" s="3">
        <f>IFERROR(IF('入力シート'!$S241="表示",'入力シート'!E241,""),"")</f>
        <v/>
      </c>
      <c r="E241" s="11">
        <f>IFERROR(IF('入力シート'!$S241="表示",'入力シート'!F241,""),"")</f>
        <v/>
      </c>
      <c r="F241" s="3">
        <f>IFERROR(IF('入力シート'!$S241="表示",'入力シート'!G241,""),"")</f>
        <v/>
      </c>
      <c r="G241" s="3">
        <f>IFERROR(IF('入力シート'!$S241="表示",'入力シート'!I241,""),"")</f>
        <v/>
      </c>
      <c r="H241" s="11">
        <f>IFERROR(IF('入力シート'!$S241="表示",'入力シート'!R241,""),"")</f>
        <v/>
      </c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</row>
    <row r="242" ht="26.75" customHeight="1">
      <c r="A242" s="11">
        <f>IFERROR(IF('入力シート'!$S242="表示",'入力シート'!A242,""),"")</f>
        <v/>
      </c>
      <c r="B242" s="11">
        <f>IFERROR(IF('入力シート'!$S242="表示",'入力シート'!B242,""),"")</f>
        <v/>
      </c>
      <c r="C242" s="11">
        <f>IFERROR(IF('入力シート'!$S242="表示",'入力シート'!D242,""),"")</f>
        <v/>
      </c>
      <c r="D242" s="3">
        <f>IFERROR(IF('入力シート'!$S242="表示",'入力シート'!E242,""),"")</f>
        <v/>
      </c>
      <c r="E242" s="11">
        <f>IFERROR(IF('入力シート'!$S242="表示",'入力シート'!F242,""),"")</f>
        <v/>
      </c>
      <c r="F242" s="3">
        <f>IFERROR(IF('入力シート'!$S242="表示",'入力シート'!G242,""),"")</f>
        <v/>
      </c>
      <c r="G242" s="3">
        <f>IFERROR(IF('入力シート'!$S242="表示",'入力シート'!I242,""),"")</f>
        <v/>
      </c>
      <c r="H242" s="11">
        <f>IFERROR(IF('入力シート'!$S242="表示",'入力シート'!R242,""),"")</f>
        <v/>
      </c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</row>
    <row r="243" ht="26.75" customHeight="1">
      <c r="A243" s="11">
        <f>IFERROR(IF('入力シート'!$S243="表示",'入力シート'!A243,""),"")</f>
        <v/>
      </c>
      <c r="B243" s="11">
        <f>IFERROR(IF('入力シート'!$S243="表示",'入力シート'!B243,""),"")</f>
        <v/>
      </c>
      <c r="C243" s="11">
        <f>IFERROR(IF('入力シート'!$S243="表示",'入力シート'!D243,""),"")</f>
        <v/>
      </c>
      <c r="D243" s="3">
        <f>IFERROR(IF('入力シート'!$S243="表示",'入力シート'!E243,""),"")</f>
        <v/>
      </c>
      <c r="E243" s="11">
        <f>IFERROR(IF('入力シート'!$S243="表示",'入力シート'!F243,""),"")</f>
        <v/>
      </c>
      <c r="F243" s="3">
        <f>IFERROR(IF('入力シート'!$S243="表示",'入力シート'!G243,""),"")</f>
        <v/>
      </c>
      <c r="G243" s="3">
        <f>IFERROR(IF('入力シート'!$S243="表示",'入力シート'!I243,""),"")</f>
        <v/>
      </c>
      <c r="H243" s="11">
        <f>IFERROR(IF('入力シート'!$S243="表示",'入力シート'!R243,""),"")</f>
        <v/>
      </c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</row>
    <row r="244" ht="26.75" customHeight="1">
      <c r="A244" s="11">
        <f>IFERROR(IF('入力シート'!$S244="表示",'入力シート'!A244,""),"")</f>
        <v/>
      </c>
      <c r="B244" s="11">
        <f>IFERROR(IF('入力シート'!$S244="表示",'入力シート'!B244,""),"")</f>
        <v/>
      </c>
      <c r="C244" s="11">
        <f>IFERROR(IF('入力シート'!$S244="表示",'入力シート'!D244,""),"")</f>
        <v/>
      </c>
      <c r="D244" s="3">
        <f>IFERROR(IF('入力シート'!$S244="表示",'入力シート'!E244,""),"")</f>
        <v/>
      </c>
      <c r="E244" s="11">
        <f>IFERROR(IF('入力シート'!$S244="表示",'入力シート'!F244,""),"")</f>
        <v/>
      </c>
      <c r="F244" s="3">
        <f>IFERROR(IF('入力シート'!$S244="表示",'入力シート'!G244,""),"")</f>
        <v/>
      </c>
      <c r="G244" s="3">
        <f>IFERROR(IF('入力シート'!$S244="表示",'入力シート'!I244,""),"")</f>
        <v/>
      </c>
      <c r="H244" s="11">
        <f>IFERROR(IF('入力シート'!$S244="表示",'入力シート'!R244,""),"")</f>
        <v/>
      </c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</row>
    <row r="245" ht="26.75" customHeight="1">
      <c r="A245" s="11">
        <f>IFERROR(IF('入力シート'!$S245="表示",'入力シート'!A245,""),"")</f>
        <v/>
      </c>
      <c r="B245" s="11">
        <f>IFERROR(IF('入力シート'!$S245="表示",'入力シート'!B245,""),"")</f>
        <v/>
      </c>
      <c r="C245" s="11">
        <f>IFERROR(IF('入力シート'!$S245="表示",'入力シート'!D245,""),"")</f>
        <v/>
      </c>
      <c r="D245" s="3">
        <f>IFERROR(IF('入力シート'!$S245="表示",'入力シート'!E245,""),"")</f>
        <v/>
      </c>
      <c r="E245" s="11">
        <f>IFERROR(IF('入力シート'!$S245="表示",'入力シート'!F245,""),"")</f>
        <v/>
      </c>
      <c r="F245" s="3">
        <f>IFERROR(IF('入力シート'!$S245="表示",'入力シート'!G245,""),"")</f>
        <v/>
      </c>
      <c r="G245" s="3">
        <f>IFERROR(IF('入力シート'!$S245="表示",'入力シート'!I245,""),"")</f>
        <v/>
      </c>
      <c r="H245" s="11">
        <f>IFERROR(IF('入力シート'!$S245="表示",'入力シート'!R245,""),"")</f>
        <v/>
      </c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</row>
    <row r="246" ht="26.75" customHeight="1">
      <c r="A246" s="11">
        <f>IFERROR(IF('入力シート'!$S246="表示",'入力シート'!A246,""),"")</f>
        <v/>
      </c>
      <c r="B246" s="11">
        <f>IFERROR(IF('入力シート'!$S246="表示",'入力シート'!B246,""),"")</f>
        <v/>
      </c>
      <c r="C246" s="11">
        <f>IFERROR(IF('入力シート'!$S246="表示",'入力シート'!D246,""),"")</f>
        <v/>
      </c>
      <c r="D246" s="3">
        <f>IFERROR(IF('入力シート'!$S246="表示",'入力シート'!E246,""),"")</f>
        <v/>
      </c>
      <c r="E246" s="11">
        <f>IFERROR(IF('入力シート'!$S246="表示",'入力シート'!F246,""),"")</f>
        <v/>
      </c>
      <c r="F246" s="3">
        <f>IFERROR(IF('入力シート'!$S246="表示",'入力シート'!G246,""),"")</f>
        <v/>
      </c>
      <c r="G246" s="3">
        <f>IFERROR(IF('入力シート'!$S246="表示",'入力シート'!I246,""),"")</f>
        <v/>
      </c>
      <c r="H246" s="11">
        <f>IFERROR(IF('入力シート'!$S246="表示",'入力シート'!R246,""),"")</f>
        <v/>
      </c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</row>
    <row r="247" ht="26.75" customHeight="1">
      <c r="A247" s="11">
        <f>IFERROR(IF('入力シート'!$S247="表示",'入力シート'!A247,""),"")</f>
        <v/>
      </c>
      <c r="B247" s="11">
        <f>IFERROR(IF('入力シート'!$S247="表示",'入力シート'!B247,""),"")</f>
        <v/>
      </c>
      <c r="C247" s="11">
        <f>IFERROR(IF('入力シート'!$S247="表示",'入力シート'!D247,""),"")</f>
        <v/>
      </c>
      <c r="D247" s="3">
        <f>IFERROR(IF('入力シート'!$S247="表示",'入力シート'!E247,""),"")</f>
        <v/>
      </c>
      <c r="E247" s="11">
        <f>IFERROR(IF('入力シート'!$S247="表示",'入力シート'!F247,""),"")</f>
        <v/>
      </c>
      <c r="F247" s="3">
        <f>IFERROR(IF('入力シート'!$S247="表示",'入力シート'!G247,""),"")</f>
        <v/>
      </c>
      <c r="G247" s="3">
        <f>IFERROR(IF('入力シート'!$S247="表示",'入力シート'!I247,""),"")</f>
        <v/>
      </c>
      <c r="H247" s="11">
        <f>IFERROR(IF('入力シート'!$S247="表示",'入力シート'!R247,""),"")</f>
        <v/>
      </c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</row>
    <row r="248" ht="26.75" customHeight="1">
      <c r="A248" s="11">
        <f>IFERROR(IF('入力シート'!$S248="表示",'入力シート'!A248,""),"")</f>
        <v/>
      </c>
      <c r="B248" s="11">
        <f>IFERROR(IF('入力シート'!$S248="表示",'入力シート'!B248,""),"")</f>
        <v/>
      </c>
      <c r="C248" s="11">
        <f>IFERROR(IF('入力シート'!$S248="表示",'入力シート'!D248,""),"")</f>
        <v/>
      </c>
      <c r="D248" s="3">
        <f>IFERROR(IF('入力シート'!$S248="表示",'入力シート'!E248,""),"")</f>
        <v/>
      </c>
      <c r="E248" s="11">
        <f>IFERROR(IF('入力シート'!$S248="表示",'入力シート'!F248,""),"")</f>
        <v/>
      </c>
      <c r="F248" s="3">
        <f>IFERROR(IF('入力シート'!$S248="表示",'入力シート'!G248,""),"")</f>
        <v/>
      </c>
      <c r="G248" s="3">
        <f>IFERROR(IF('入力シート'!$S248="表示",'入力シート'!I248,""),"")</f>
        <v/>
      </c>
      <c r="H248" s="11">
        <f>IFERROR(IF('入力シート'!$S248="表示",'入力シート'!R248,""),"")</f>
        <v/>
      </c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</row>
    <row r="249" ht="26.75" customHeight="1">
      <c r="A249" s="11">
        <f>IFERROR(IF('入力シート'!$S249="表示",'入力シート'!A249,""),"")</f>
        <v/>
      </c>
      <c r="B249" s="11">
        <f>IFERROR(IF('入力シート'!$S249="表示",'入力シート'!B249,""),"")</f>
        <v/>
      </c>
      <c r="C249" s="11">
        <f>IFERROR(IF('入力シート'!$S249="表示",'入力シート'!D249,""),"")</f>
        <v/>
      </c>
      <c r="D249" s="3">
        <f>IFERROR(IF('入力シート'!$S249="表示",'入力シート'!E249,""),"")</f>
        <v/>
      </c>
      <c r="E249" s="11">
        <f>IFERROR(IF('入力シート'!$S249="表示",'入力シート'!F249,""),"")</f>
        <v/>
      </c>
      <c r="F249" s="3">
        <f>IFERROR(IF('入力シート'!$S249="表示",'入力シート'!G249,""),"")</f>
        <v/>
      </c>
      <c r="G249" s="3">
        <f>IFERROR(IF('入力シート'!$S249="表示",'入力シート'!I249,""),"")</f>
        <v/>
      </c>
      <c r="H249" s="11">
        <f>IFERROR(IF('入力シート'!$S249="表示",'入力シート'!R249,""),"")</f>
        <v/>
      </c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</row>
    <row r="250" ht="26.75" customHeight="1">
      <c r="A250" s="11">
        <f>IFERROR(IF('入力シート'!$S250="表示",'入力シート'!A250,""),"")</f>
        <v/>
      </c>
      <c r="B250" s="11">
        <f>IFERROR(IF('入力シート'!$S250="表示",'入力シート'!B250,""),"")</f>
        <v/>
      </c>
      <c r="C250" s="11">
        <f>IFERROR(IF('入力シート'!$S250="表示",'入力シート'!D250,""),"")</f>
        <v/>
      </c>
      <c r="D250" s="3">
        <f>IFERROR(IF('入力シート'!$S250="表示",'入力シート'!E250,""),"")</f>
        <v/>
      </c>
      <c r="E250" s="11">
        <f>IFERROR(IF('入力シート'!$S250="表示",'入力シート'!F250,""),"")</f>
        <v/>
      </c>
      <c r="F250" s="3">
        <f>IFERROR(IF('入力シート'!$S250="表示",'入力シート'!G250,""),"")</f>
        <v/>
      </c>
      <c r="G250" s="3">
        <f>IFERROR(IF('入力シート'!$S250="表示",'入力シート'!I250,""),"")</f>
        <v/>
      </c>
      <c r="H250" s="11">
        <f>IFERROR(IF('入力シート'!$S250="表示",'入力シート'!R250,""),"")</f>
        <v/>
      </c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</row>
    <row r="251" ht="26.75" customHeight="1">
      <c r="A251" s="11">
        <f>IFERROR(IF('入力シート'!$S251="表示",'入力シート'!A251,""),"")</f>
        <v/>
      </c>
      <c r="B251" s="11">
        <f>IFERROR(IF('入力シート'!$S251="表示",'入力シート'!B251,""),"")</f>
        <v/>
      </c>
      <c r="C251" s="11">
        <f>IFERROR(IF('入力シート'!$S251="表示",'入力シート'!D251,""),"")</f>
        <v/>
      </c>
      <c r="D251" s="3">
        <f>IFERROR(IF('入力シート'!$S251="表示",'入力シート'!E251,""),"")</f>
        <v/>
      </c>
      <c r="E251" s="11">
        <f>IFERROR(IF('入力シート'!$S251="表示",'入力シート'!F251,""),"")</f>
        <v/>
      </c>
      <c r="F251" s="3">
        <f>IFERROR(IF('入力シート'!$S251="表示",'入力シート'!G251,""),"")</f>
        <v/>
      </c>
      <c r="G251" s="3">
        <f>IFERROR(IF('入力シート'!$S251="表示",'入力シート'!I251,""),"")</f>
        <v/>
      </c>
      <c r="H251" s="11">
        <f>IFERROR(IF('入力シート'!$S251="表示",'入力シート'!R251,""),"")</f>
        <v/>
      </c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</row>
    <row r="252" ht="26.75" customHeight="1">
      <c r="A252" s="11">
        <f>IFERROR(IF('入力シート'!$S252="表示",'入力シート'!A252,""),"")</f>
        <v/>
      </c>
      <c r="B252" s="11">
        <f>IFERROR(IF('入力シート'!$S252="表示",'入力シート'!B252,""),"")</f>
        <v/>
      </c>
      <c r="C252" s="11">
        <f>IFERROR(IF('入力シート'!$S252="表示",'入力シート'!D252,""),"")</f>
        <v/>
      </c>
      <c r="D252" s="3">
        <f>IFERROR(IF('入力シート'!$S252="表示",'入力シート'!E252,""),"")</f>
        <v/>
      </c>
      <c r="E252" s="11">
        <f>IFERROR(IF('入力シート'!$S252="表示",'入力シート'!F252,""),"")</f>
        <v/>
      </c>
      <c r="F252" s="3">
        <f>IFERROR(IF('入力シート'!$S252="表示",'入力シート'!G252,""),"")</f>
        <v/>
      </c>
      <c r="G252" s="3">
        <f>IFERROR(IF('入力シート'!$S252="表示",'入力シート'!I252,""),"")</f>
        <v/>
      </c>
      <c r="H252" s="11">
        <f>IFERROR(IF('入力シート'!$S252="表示",'入力シート'!R252,""),"")</f>
        <v/>
      </c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</row>
    <row r="253" ht="26.75" customHeight="1">
      <c r="A253" s="11">
        <f>IFERROR(IF('入力シート'!$S253="表示",'入力シート'!A253,""),"")</f>
        <v/>
      </c>
      <c r="B253" s="11">
        <f>IFERROR(IF('入力シート'!$S253="表示",'入力シート'!B253,""),"")</f>
        <v/>
      </c>
      <c r="C253" s="11">
        <f>IFERROR(IF('入力シート'!$S253="表示",'入力シート'!D253,""),"")</f>
        <v/>
      </c>
      <c r="D253" s="3">
        <f>IFERROR(IF('入力シート'!$S253="表示",'入力シート'!E253,""),"")</f>
        <v/>
      </c>
      <c r="E253" s="11">
        <f>IFERROR(IF('入力シート'!$S253="表示",'入力シート'!F253,""),"")</f>
        <v/>
      </c>
      <c r="F253" s="3">
        <f>IFERROR(IF('入力シート'!$S253="表示",'入力シート'!G253,""),"")</f>
        <v/>
      </c>
      <c r="G253" s="3">
        <f>IFERROR(IF('入力シート'!$S253="表示",'入力シート'!I253,""),"")</f>
        <v/>
      </c>
      <c r="H253" s="11">
        <f>IFERROR(IF('入力シート'!$S253="表示",'入力シート'!R253,""),"")</f>
        <v/>
      </c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</row>
    <row r="254" ht="26.75" customHeight="1">
      <c r="A254" s="11">
        <f>IFERROR(IF('入力シート'!$S254="表示",'入力シート'!A254,""),"")</f>
        <v/>
      </c>
      <c r="B254" s="11">
        <f>IFERROR(IF('入力シート'!$S254="表示",'入力シート'!B254,""),"")</f>
        <v/>
      </c>
      <c r="C254" s="11">
        <f>IFERROR(IF('入力シート'!$S254="表示",'入力シート'!D254,""),"")</f>
        <v/>
      </c>
      <c r="D254" s="3">
        <f>IFERROR(IF('入力シート'!$S254="表示",'入力シート'!E254,""),"")</f>
        <v/>
      </c>
      <c r="E254" s="11">
        <f>IFERROR(IF('入力シート'!$S254="表示",'入力シート'!F254,""),"")</f>
        <v/>
      </c>
      <c r="F254" s="3">
        <f>IFERROR(IF('入力シート'!$S254="表示",'入力シート'!G254,""),"")</f>
        <v/>
      </c>
      <c r="G254" s="3">
        <f>IFERROR(IF('入力シート'!$S254="表示",'入力シート'!I254,""),"")</f>
        <v/>
      </c>
      <c r="H254" s="11">
        <f>IFERROR(IF('入力シート'!$S254="表示",'入力シート'!R254,""),"")</f>
        <v/>
      </c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</row>
    <row r="255" ht="26.75" customHeight="1">
      <c r="A255" s="11">
        <f>IFERROR(IF('入力シート'!$S255="表示",'入力シート'!A255,""),"")</f>
        <v/>
      </c>
      <c r="B255" s="11">
        <f>IFERROR(IF('入力シート'!$S255="表示",'入力シート'!B255,""),"")</f>
        <v/>
      </c>
      <c r="C255" s="11">
        <f>IFERROR(IF('入力シート'!$S255="表示",'入力シート'!D255,""),"")</f>
        <v/>
      </c>
      <c r="D255" s="3">
        <f>IFERROR(IF('入力シート'!$S255="表示",'入力シート'!E255,""),"")</f>
        <v/>
      </c>
      <c r="E255" s="11">
        <f>IFERROR(IF('入力シート'!$S255="表示",'入力シート'!F255,""),"")</f>
        <v/>
      </c>
      <c r="F255" s="3">
        <f>IFERROR(IF('入力シート'!$S255="表示",'入力シート'!G255,""),"")</f>
        <v/>
      </c>
      <c r="G255" s="3">
        <f>IFERROR(IF('入力シート'!$S255="表示",'入力シート'!I255,""),"")</f>
        <v/>
      </c>
      <c r="H255" s="11">
        <f>IFERROR(IF('入力シート'!$S255="表示",'入力シート'!R255,""),"")</f>
        <v/>
      </c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</row>
    <row r="256" ht="26.75" customHeight="1">
      <c r="A256" s="11">
        <f>IFERROR(IF('入力シート'!$S256="表示",'入力シート'!A256,""),"")</f>
        <v/>
      </c>
      <c r="B256" s="11">
        <f>IFERROR(IF('入力シート'!$S256="表示",'入力シート'!B256,""),"")</f>
        <v/>
      </c>
      <c r="C256" s="11">
        <f>IFERROR(IF('入力シート'!$S256="表示",'入力シート'!D256,""),"")</f>
        <v/>
      </c>
      <c r="D256" s="3">
        <f>IFERROR(IF('入力シート'!$S256="表示",'入力シート'!E256,""),"")</f>
        <v/>
      </c>
      <c r="E256" s="11">
        <f>IFERROR(IF('入力シート'!$S256="表示",'入力シート'!F256,""),"")</f>
        <v/>
      </c>
      <c r="F256" s="3">
        <f>IFERROR(IF('入力シート'!$S256="表示",'入力シート'!G256,""),"")</f>
        <v/>
      </c>
      <c r="G256" s="3">
        <f>IFERROR(IF('入力シート'!$S256="表示",'入力シート'!I256,""),"")</f>
        <v/>
      </c>
      <c r="H256" s="11">
        <f>IFERROR(IF('入力シート'!$S256="表示",'入力シート'!R256,""),"")</f>
        <v/>
      </c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</row>
    <row r="257" ht="26.75" customHeight="1">
      <c r="A257" s="11">
        <f>IFERROR(IF('入力シート'!$S257="表示",'入力シート'!A257,""),"")</f>
        <v/>
      </c>
      <c r="B257" s="11">
        <f>IFERROR(IF('入力シート'!$S257="表示",'入力シート'!B257,""),"")</f>
        <v/>
      </c>
      <c r="C257" s="11">
        <f>IFERROR(IF('入力シート'!$S257="表示",'入力シート'!D257,""),"")</f>
        <v/>
      </c>
      <c r="D257" s="3">
        <f>IFERROR(IF('入力シート'!$S257="表示",'入力シート'!E257,""),"")</f>
        <v/>
      </c>
      <c r="E257" s="11">
        <f>IFERROR(IF('入力シート'!$S257="表示",'入力シート'!F257,""),"")</f>
        <v/>
      </c>
      <c r="F257" s="3">
        <f>IFERROR(IF('入力シート'!$S257="表示",'入力シート'!G257,""),"")</f>
        <v/>
      </c>
      <c r="G257" s="3">
        <f>IFERROR(IF('入力シート'!$S257="表示",'入力シート'!I257,""),"")</f>
        <v/>
      </c>
      <c r="H257" s="11">
        <f>IFERROR(IF('入力シート'!$S257="表示",'入力シート'!R257,""),"")</f>
        <v/>
      </c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</row>
    <row r="258" ht="26.75" customHeight="1">
      <c r="A258" s="11">
        <f>IFERROR(IF('入力シート'!$S258="表示",'入力シート'!A258,""),"")</f>
        <v/>
      </c>
      <c r="B258" s="11">
        <f>IFERROR(IF('入力シート'!$S258="表示",'入力シート'!B258,""),"")</f>
        <v/>
      </c>
      <c r="C258" s="11">
        <f>IFERROR(IF('入力シート'!$S258="表示",'入力シート'!D258,""),"")</f>
        <v/>
      </c>
      <c r="D258" s="3">
        <f>IFERROR(IF('入力シート'!$S258="表示",'入力シート'!E258,""),"")</f>
        <v/>
      </c>
      <c r="E258" s="11">
        <f>IFERROR(IF('入力シート'!$S258="表示",'入力シート'!F258,""),"")</f>
        <v/>
      </c>
      <c r="F258" s="3">
        <f>IFERROR(IF('入力シート'!$S258="表示",'入力シート'!G258,""),"")</f>
        <v/>
      </c>
      <c r="G258" s="3">
        <f>IFERROR(IF('入力シート'!$S258="表示",'入力シート'!I258,""),"")</f>
        <v/>
      </c>
      <c r="H258" s="11">
        <f>IFERROR(IF('入力シート'!$S258="表示",'入力シート'!R258,""),"")</f>
        <v/>
      </c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</row>
    <row r="259" ht="26.75" customHeight="1">
      <c r="A259" s="11">
        <f>IFERROR(IF('入力シート'!$S259="表示",'入力シート'!A259,""),"")</f>
        <v/>
      </c>
      <c r="B259" s="11">
        <f>IFERROR(IF('入力シート'!$S259="表示",'入力シート'!B259,""),"")</f>
        <v/>
      </c>
      <c r="C259" s="11">
        <f>IFERROR(IF('入力シート'!$S259="表示",'入力シート'!D259,""),"")</f>
        <v/>
      </c>
      <c r="D259" s="3">
        <f>IFERROR(IF('入力シート'!$S259="表示",'入力シート'!E259,""),"")</f>
        <v/>
      </c>
      <c r="E259" s="11">
        <f>IFERROR(IF('入力シート'!$S259="表示",'入力シート'!F259,""),"")</f>
        <v/>
      </c>
      <c r="F259" s="3">
        <f>IFERROR(IF('入力シート'!$S259="表示",'入力シート'!G259,""),"")</f>
        <v/>
      </c>
      <c r="G259" s="3">
        <f>IFERROR(IF('入力シート'!$S259="表示",'入力シート'!I259,""),"")</f>
        <v/>
      </c>
      <c r="H259" s="11">
        <f>IFERROR(IF('入力シート'!$S259="表示",'入力シート'!R259,""),"")</f>
        <v/>
      </c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</row>
    <row r="260" ht="26.75" customHeight="1">
      <c r="A260" s="11">
        <f>IFERROR(IF('入力シート'!$S260="表示",'入力シート'!A260,""),"")</f>
        <v/>
      </c>
      <c r="B260" s="11">
        <f>IFERROR(IF('入力シート'!$S260="表示",'入力シート'!B260,""),"")</f>
        <v/>
      </c>
      <c r="C260" s="11">
        <f>IFERROR(IF('入力シート'!$S260="表示",'入力シート'!D260,""),"")</f>
        <v/>
      </c>
      <c r="D260" s="3">
        <f>IFERROR(IF('入力シート'!$S260="表示",'入力シート'!E260,""),"")</f>
        <v/>
      </c>
      <c r="E260" s="11">
        <f>IFERROR(IF('入力シート'!$S260="表示",'入力シート'!F260,""),"")</f>
        <v/>
      </c>
      <c r="F260" s="3">
        <f>IFERROR(IF('入力シート'!$S260="表示",'入力シート'!G260,""),"")</f>
        <v/>
      </c>
      <c r="G260" s="3">
        <f>IFERROR(IF('入力シート'!$S260="表示",'入力シート'!I260,""),"")</f>
        <v/>
      </c>
      <c r="H260" s="11">
        <f>IFERROR(IF('入力シート'!$S260="表示",'入力シート'!R260,""),"")</f>
        <v/>
      </c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</row>
    <row r="261" ht="26.75" customHeight="1">
      <c r="A261" s="11">
        <f>IFERROR(IF('入力シート'!$S261="表示",'入力シート'!A261,""),"")</f>
        <v/>
      </c>
      <c r="B261" s="11">
        <f>IFERROR(IF('入力シート'!$S261="表示",'入力シート'!B261,""),"")</f>
        <v/>
      </c>
      <c r="C261" s="11">
        <f>IFERROR(IF('入力シート'!$S261="表示",'入力シート'!D261,""),"")</f>
        <v/>
      </c>
      <c r="D261" s="3">
        <f>IFERROR(IF('入力シート'!$S261="表示",'入力シート'!E261,""),"")</f>
        <v/>
      </c>
      <c r="E261" s="11">
        <f>IFERROR(IF('入力シート'!$S261="表示",'入力シート'!F261,""),"")</f>
        <v/>
      </c>
      <c r="F261" s="3">
        <f>IFERROR(IF('入力シート'!$S261="表示",'入力シート'!G261,""),"")</f>
        <v/>
      </c>
      <c r="G261" s="3">
        <f>IFERROR(IF('入力シート'!$S261="表示",'入力シート'!I261,""),"")</f>
        <v/>
      </c>
      <c r="H261" s="11">
        <f>IFERROR(IF('入力シート'!$S261="表示",'入力シート'!R261,""),"")</f>
        <v/>
      </c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</row>
    <row r="262" ht="26.75" customHeight="1">
      <c r="A262" s="11">
        <f>IFERROR(IF('入力シート'!$S262="表示",'入力シート'!A262,""),"")</f>
        <v/>
      </c>
      <c r="B262" s="11">
        <f>IFERROR(IF('入力シート'!$S262="表示",'入力シート'!B262,""),"")</f>
        <v/>
      </c>
      <c r="C262" s="11">
        <f>IFERROR(IF('入力シート'!$S262="表示",'入力シート'!D262,""),"")</f>
        <v/>
      </c>
      <c r="D262" s="3">
        <f>IFERROR(IF('入力シート'!$S262="表示",'入力シート'!E262,""),"")</f>
        <v/>
      </c>
      <c r="E262" s="11">
        <f>IFERROR(IF('入力シート'!$S262="表示",'入力シート'!F262,""),"")</f>
        <v/>
      </c>
      <c r="F262" s="3">
        <f>IFERROR(IF('入力シート'!$S262="表示",'入力シート'!G262,""),"")</f>
        <v/>
      </c>
      <c r="G262" s="3">
        <f>IFERROR(IF('入力シート'!$S262="表示",'入力シート'!I262,""),"")</f>
        <v/>
      </c>
      <c r="H262" s="11">
        <f>IFERROR(IF('入力シート'!$S262="表示",'入力シート'!R262,""),"")</f>
        <v/>
      </c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</row>
    <row r="263" ht="26.75" customHeight="1">
      <c r="A263" s="11">
        <f>IFERROR(IF('入力シート'!$S263="表示",'入力シート'!A263,""),"")</f>
        <v/>
      </c>
      <c r="B263" s="11">
        <f>IFERROR(IF('入力シート'!$S263="表示",'入力シート'!B263,""),"")</f>
        <v/>
      </c>
      <c r="C263" s="11">
        <f>IFERROR(IF('入力シート'!$S263="表示",'入力シート'!D263,""),"")</f>
        <v/>
      </c>
      <c r="D263" s="3">
        <f>IFERROR(IF('入力シート'!$S263="表示",'入力シート'!E263,""),"")</f>
        <v/>
      </c>
      <c r="E263" s="11">
        <f>IFERROR(IF('入力シート'!$S263="表示",'入力シート'!F263,""),"")</f>
        <v/>
      </c>
      <c r="F263" s="3">
        <f>IFERROR(IF('入力シート'!$S263="表示",'入力シート'!G263,""),"")</f>
        <v/>
      </c>
      <c r="G263" s="3">
        <f>IFERROR(IF('入力シート'!$S263="表示",'入力シート'!I263,""),"")</f>
        <v/>
      </c>
      <c r="H263" s="11">
        <f>IFERROR(IF('入力シート'!$S263="表示",'入力シート'!R263,""),"")</f>
        <v/>
      </c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</row>
    <row r="264" ht="26.75" customHeight="1">
      <c r="A264" s="11">
        <f>IFERROR(IF('入力シート'!$S264="表示",'入力シート'!A264,""),"")</f>
        <v/>
      </c>
      <c r="B264" s="11">
        <f>IFERROR(IF('入力シート'!$S264="表示",'入力シート'!B264,""),"")</f>
        <v/>
      </c>
      <c r="C264" s="11">
        <f>IFERROR(IF('入力シート'!$S264="表示",'入力シート'!D264,""),"")</f>
        <v/>
      </c>
      <c r="D264" s="3">
        <f>IFERROR(IF('入力シート'!$S264="表示",'入力シート'!E264,""),"")</f>
        <v/>
      </c>
      <c r="E264" s="11">
        <f>IFERROR(IF('入力シート'!$S264="表示",'入力シート'!F264,""),"")</f>
        <v/>
      </c>
      <c r="F264" s="3">
        <f>IFERROR(IF('入力シート'!$S264="表示",'入力シート'!G264,""),"")</f>
        <v/>
      </c>
      <c r="G264" s="3">
        <f>IFERROR(IF('入力シート'!$S264="表示",'入力シート'!I264,""),"")</f>
        <v/>
      </c>
      <c r="H264" s="11">
        <f>IFERROR(IF('入力シート'!$S264="表示",'入力シート'!R264,""),"")</f>
        <v/>
      </c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</row>
    <row r="265" ht="26.75" customHeight="1">
      <c r="A265" s="11">
        <f>IFERROR(IF('入力シート'!$S265="表示",'入力シート'!A265,""),"")</f>
        <v/>
      </c>
      <c r="B265" s="11">
        <f>IFERROR(IF('入力シート'!$S265="表示",'入力シート'!B265,""),"")</f>
        <v/>
      </c>
      <c r="C265" s="11">
        <f>IFERROR(IF('入力シート'!$S265="表示",'入力シート'!D265,""),"")</f>
        <v/>
      </c>
      <c r="D265" s="3">
        <f>IFERROR(IF('入力シート'!$S265="表示",'入力シート'!E265,""),"")</f>
        <v/>
      </c>
      <c r="E265" s="11">
        <f>IFERROR(IF('入力シート'!$S265="表示",'入力シート'!F265,""),"")</f>
        <v/>
      </c>
      <c r="F265" s="3">
        <f>IFERROR(IF('入力シート'!$S265="表示",'入力シート'!G265,""),"")</f>
        <v/>
      </c>
      <c r="G265" s="3">
        <f>IFERROR(IF('入力シート'!$S265="表示",'入力シート'!I265,""),"")</f>
        <v/>
      </c>
      <c r="H265" s="11">
        <f>IFERROR(IF('入力シート'!$S265="表示",'入力シート'!R265,""),"")</f>
        <v/>
      </c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</row>
    <row r="266" ht="26.75" customHeight="1">
      <c r="A266" s="11">
        <f>IFERROR(IF('入力シート'!$S266="表示",'入力シート'!A266,""),"")</f>
        <v/>
      </c>
      <c r="B266" s="11">
        <f>IFERROR(IF('入力シート'!$S266="表示",'入力シート'!B266,""),"")</f>
        <v/>
      </c>
      <c r="C266" s="11">
        <f>IFERROR(IF('入力シート'!$S266="表示",'入力シート'!D266,""),"")</f>
        <v/>
      </c>
      <c r="D266" s="3">
        <f>IFERROR(IF('入力シート'!$S266="表示",'入力シート'!E266,""),"")</f>
        <v/>
      </c>
      <c r="E266" s="11">
        <f>IFERROR(IF('入力シート'!$S266="表示",'入力シート'!F266,""),"")</f>
        <v/>
      </c>
      <c r="F266" s="3">
        <f>IFERROR(IF('入力シート'!$S266="表示",'入力シート'!G266,""),"")</f>
        <v/>
      </c>
      <c r="G266" s="3">
        <f>IFERROR(IF('入力シート'!$S266="表示",'入力シート'!I266,""),"")</f>
        <v/>
      </c>
      <c r="H266" s="11">
        <f>IFERROR(IF('入力シート'!$S266="表示",'入力シート'!R266,""),"")</f>
        <v/>
      </c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</row>
    <row r="267" ht="26.75" customHeight="1">
      <c r="A267" s="11">
        <f>IFERROR(IF('入力シート'!$S267="表示",'入力シート'!A267,""),"")</f>
        <v/>
      </c>
      <c r="B267" s="11">
        <f>IFERROR(IF('入力シート'!$S267="表示",'入力シート'!B267,""),"")</f>
        <v/>
      </c>
      <c r="C267" s="11">
        <f>IFERROR(IF('入力シート'!$S267="表示",'入力シート'!D267,""),"")</f>
        <v/>
      </c>
      <c r="D267" s="3">
        <f>IFERROR(IF('入力シート'!$S267="表示",'入力シート'!E267,""),"")</f>
        <v/>
      </c>
      <c r="E267" s="11">
        <f>IFERROR(IF('入力シート'!$S267="表示",'入力シート'!F267,""),"")</f>
        <v/>
      </c>
      <c r="F267" s="3">
        <f>IFERROR(IF('入力シート'!$S267="表示",'入力シート'!G267,""),"")</f>
        <v/>
      </c>
      <c r="G267" s="3">
        <f>IFERROR(IF('入力シート'!$S267="表示",'入力シート'!I267,""),"")</f>
        <v/>
      </c>
      <c r="H267" s="11">
        <f>IFERROR(IF('入力シート'!$S267="表示",'入力シート'!R267,""),"")</f>
        <v/>
      </c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</row>
    <row r="268" ht="26.75" customHeight="1">
      <c r="A268" s="11">
        <f>IFERROR(IF('入力シート'!$S268="表示",'入力シート'!A268,""),"")</f>
        <v/>
      </c>
      <c r="B268" s="11">
        <f>IFERROR(IF('入力シート'!$S268="表示",'入力シート'!B268,""),"")</f>
        <v/>
      </c>
      <c r="C268" s="11">
        <f>IFERROR(IF('入力シート'!$S268="表示",'入力シート'!D268,""),"")</f>
        <v/>
      </c>
      <c r="D268" s="3">
        <f>IFERROR(IF('入力シート'!$S268="表示",'入力シート'!E268,""),"")</f>
        <v/>
      </c>
      <c r="E268" s="11">
        <f>IFERROR(IF('入力シート'!$S268="表示",'入力シート'!F268,""),"")</f>
        <v/>
      </c>
      <c r="F268" s="3">
        <f>IFERROR(IF('入力シート'!$S268="表示",'入力シート'!G268,""),"")</f>
        <v/>
      </c>
      <c r="G268" s="3">
        <f>IFERROR(IF('入力シート'!$S268="表示",'入力シート'!I268,""),"")</f>
        <v/>
      </c>
      <c r="H268" s="11">
        <f>IFERROR(IF('入力シート'!$S268="表示",'入力シート'!R268,""),"")</f>
        <v/>
      </c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</row>
    <row r="269" ht="26.75" customHeight="1">
      <c r="A269" s="11">
        <f>IFERROR(IF('入力シート'!$S269="表示",'入力シート'!A269,""),"")</f>
        <v/>
      </c>
      <c r="B269" s="11">
        <f>IFERROR(IF('入力シート'!$S269="表示",'入力シート'!B269,""),"")</f>
        <v/>
      </c>
      <c r="C269" s="11">
        <f>IFERROR(IF('入力シート'!$S269="表示",'入力シート'!D269,""),"")</f>
        <v/>
      </c>
      <c r="D269" s="3">
        <f>IFERROR(IF('入力シート'!$S269="表示",'入力シート'!E269,""),"")</f>
        <v/>
      </c>
      <c r="E269" s="11">
        <f>IFERROR(IF('入力シート'!$S269="表示",'入力シート'!F269,""),"")</f>
        <v/>
      </c>
      <c r="F269" s="3">
        <f>IFERROR(IF('入力シート'!$S269="表示",'入力シート'!G269,""),"")</f>
        <v/>
      </c>
      <c r="G269" s="3">
        <f>IFERROR(IF('入力シート'!$S269="表示",'入力シート'!I269,""),"")</f>
        <v/>
      </c>
      <c r="H269" s="11">
        <f>IFERROR(IF('入力シート'!$S269="表示",'入力シート'!R269,""),"")</f>
        <v/>
      </c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</row>
    <row r="270" ht="26.75" customHeight="1">
      <c r="A270" s="11">
        <f>IFERROR(IF('入力シート'!$S270="表示",'入力シート'!A270,""),"")</f>
        <v/>
      </c>
      <c r="B270" s="11">
        <f>IFERROR(IF('入力シート'!$S270="表示",'入力シート'!B270,""),"")</f>
        <v/>
      </c>
      <c r="C270" s="11">
        <f>IFERROR(IF('入力シート'!$S270="表示",'入力シート'!D270,""),"")</f>
        <v/>
      </c>
      <c r="D270" s="3">
        <f>IFERROR(IF('入力シート'!$S270="表示",'入力シート'!E270,""),"")</f>
        <v/>
      </c>
      <c r="E270" s="11">
        <f>IFERROR(IF('入力シート'!$S270="表示",'入力シート'!F270,""),"")</f>
        <v/>
      </c>
      <c r="F270" s="3">
        <f>IFERROR(IF('入力シート'!$S270="表示",'入力シート'!G270,""),"")</f>
        <v/>
      </c>
      <c r="G270" s="3">
        <f>IFERROR(IF('入力シート'!$S270="表示",'入力シート'!I270,""),"")</f>
        <v/>
      </c>
      <c r="H270" s="11">
        <f>IFERROR(IF('入力シート'!$S270="表示",'入力シート'!R270,""),"")</f>
        <v/>
      </c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</row>
    <row r="271" ht="26.75" customHeight="1">
      <c r="A271" s="11">
        <f>IFERROR(IF('入力シート'!$S271="表示",'入力シート'!A271,""),"")</f>
        <v/>
      </c>
      <c r="B271" s="11">
        <f>IFERROR(IF('入力シート'!$S271="表示",'入力シート'!B271,""),"")</f>
        <v/>
      </c>
      <c r="C271" s="11">
        <f>IFERROR(IF('入力シート'!$S271="表示",'入力シート'!D271,""),"")</f>
        <v/>
      </c>
      <c r="D271" s="3">
        <f>IFERROR(IF('入力シート'!$S271="表示",'入力シート'!E271,""),"")</f>
        <v/>
      </c>
      <c r="E271" s="11">
        <f>IFERROR(IF('入力シート'!$S271="表示",'入力シート'!F271,""),"")</f>
        <v/>
      </c>
      <c r="F271" s="3">
        <f>IFERROR(IF('入力シート'!$S271="表示",'入力シート'!G271,""),"")</f>
        <v/>
      </c>
      <c r="G271" s="3">
        <f>IFERROR(IF('入力シート'!$S271="表示",'入力シート'!I271,""),"")</f>
        <v/>
      </c>
      <c r="H271" s="11">
        <f>IFERROR(IF('入力シート'!$S271="表示",'入力シート'!R271,""),"")</f>
        <v/>
      </c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</row>
    <row r="272" ht="26.75" customHeight="1">
      <c r="A272" s="11">
        <f>IFERROR(IF('入力シート'!$S272="表示",'入力シート'!A272,""),"")</f>
        <v/>
      </c>
      <c r="B272" s="11">
        <f>IFERROR(IF('入力シート'!$S272="表示",'入力シート'!B272,""),"")</f>
        <v/>
      </c>
      <c r="C272" s="11">
        <f>IFERROR(IF('入力シート'!$S272="表示",'入力シート'!D272,""),"")</f>
        <v/>
      </c>
      <c r="D272" s="3">
        <f>IFERROR(IF('入力シート'!$S272="表示",'入力シート'!E272,""),"")</f>
        <v/>
      </c>
      <c r="E272" s="11">
        <f>IFERROR(IF('入力シート'!$S272="表示",'入力シート'!F272,""),"")</f>
        <v/>
      </c>
      <c r="F272" s="3">
        <f>IFERROR(IF('入力シート'!$S272="表示",'入力シート'!G272,""),"")</f>
        <v/>
      </c>
      <c r="G272" s="3">
        <f>IFERROR(IF('入力シート'!$S272="表示",'入力シート'!I272,""),"")</f>
        <v/>
      </c>
      <c r="H272" s="11">
        <f>IFERROR(IF('入力シート'!$S272="表示",'入力シート'!R272,""),"")</f>
        <v/>
      </c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</row>
    <row r="273" ht="26.75" customHeight="1">
      <c r="A273" s="11">
        <f>IFERROR(IF('入力シート'!$S273="表示",'入力シート'!A273,""),"")</f>
        <v/>
      </c>
      <c r="B273" s="11">
        <f>IFERROR(IF('入力シート'!$S273="表示",'入力シート'!B273,""),"")</f>
        <v/>
      </c>
      <c r="C273" s="11">
        <f>IFERROR(IF('入力シート'!$S273="表示",'入力シート'!D273,""),"")</f>
        <v/>
      </c>
      <c r="D273" s="3">
        <f>IFERROR(IF('入力シート'!$S273="表示",'入力シート'!E273,""),"")</f>
        <v/>
      </c>
      <c r="E273" s="11">
        <f>IFERROR(IF('入力シート'!$S273="表示",'入力シート'!F273,""),"")</f>
        <v/>
      </c>
      <c r="F273" s="3">
        <f>IFERROR(IF('入力シート'!$S273="表示",'入力シート'!G273,""),"")</f>
        <v/>
      </c>
      <c r="G273" s="3">
        <f>IFERROR(IF('入力シート'!$S273="表示",'入力シート'!I273,""),"")</f>
        <v/>
      </c>
      <c r="H273" s="11">
        <f>IFERROR(IF('入力シート'!$S273="表示",'入力シート'!R273,""),"")</f>
        <v/>
      </c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</row>
    <row r="274" ht="26.75" customHeight="1">
      <c r="A274" s="11">
        <f>IFERROR(IF('入力シート'!$S274="表示",'入力シート'!A274,""),"")</f>
        <v/>
      </c>
      <c r="B274" s="11">
        <f>IFERROR(IF('入力シート'!$S274="表示",'入力シート'!B274,""),"")</f>
        <v/>
      </c>
      <c r="C274" s="11">
        <f>IFERROR(IF('入力シート'!$S274="表示",'入力シート'!D274,""),"")</f>
        <v/>
      </c>
      <c r="D274" s="3">
        <f>IFERROR(IF('入力シート'!$S274="表示",'入力シート'!E274,""),"")</f>
        <v/>
      </c>
      <c r="E274" s="11">
        <f>IFERROR(IF('入力シート'!$S274="表示",'入力シート'!F274,""),"")</f>
        <v/>
      </c>
      <c r="F274" s="3">
        <f>IFERROR(IF('入力シート'!$S274="表示",'入力シート'!G274,""),"")</f>
        <v/>
      </c>
      <c r="G274" s="3">
        <f>IFERROR(IF('入力シート'!$S274="表示",'入力シート'!I274,""),"")</f>
        <v/>
      </c>
      <c r="H274" s="11">
        <f>IFERROR(IF('入力シート'!$S274="表示",'入力シート'!R274,""),"")</f>
        <v/>
      </c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</row>
    <row r="275" ht="26.75" customHeight="1">
      <c r="A275" s="11">
        <f>IFERROR(IF('入力シート'!$S275="表示",'入力シート'!A275,""),"")</f>
        <v/>
      </c>
      <c r="B275" s="11">
        <f>IFERROR(IF('入力シート'!$S275="表示",'入力シート'!B275,""),"")</f>
        <v/>
      </c>
      <c r="C275" s="11">
        <f>IFERROR(IF('入力シート'!$S275="表示",'入力シート'!D275,""),"")</f>
        <v/>
      </c>
      <c r="D275" s="3">
        <f>IFERROR(IF('入力シート'!$S275="表示",'入力シート'!E275,""),"")</f>
        <v/>
      </c>
      <c r="E275" s="11">
        <f>IFERROR(IF('入力シート'!$S275="表示",'入力シート'!F275,""),"")</f>
        <v/>
      </c>
      <c r="F275" s="3">
        <f>IFERROR(IF('入力シート'!$S275="表示",'入力シート'!G275,""),"")</f>
        <v/>
      </c>
      <c r="G275" s="3">
        <f>IFERROR(IF('入力シート'!$S275="表示",'入力シート'!I275,""),"")</f>
        <v/>
      </c>
      <c r="H275" s="11">
        <f>IFERROR(IF('入力シート'!$S275="表示",'入力シート'!R275,""),"")</f>
        <v/>
      </c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</row>
    <row r="276" ht="26.75" customHeight="1">
      <c r="A276" s="11">
        <f>IFERROR(IF('入力シート'!$S276="表示",'入力シート'!A276,""),"")</f>
        <v/>
      </c>
      <c r="B276" s="11">
        <f>IFERROR(IF('入力シート'!$S276="表示",'入力シート'!B276,""),"")</f>
        <v/>
      </c>
      <c r="C276" s="11">
        <f>IFERROR(IF('入力シート'!$S276="表示",'入力シート'!D276,""),"")</f>
        <v/>
      </c>
      <c r="D276" s="3">
        <f>IFERROR(IF('入力シート'!$S276="表示",'入力シート'!E276,""),"")</f>
        <v/>
      </c>
      <c r="E276" s="11">
        <f>IFERROR(IF('入力シート'!$S276="表示",'入力シート'!F276,""),"")</f>
        <v/>
      </c>
      <c r="F276" s="3">
        <f>IFERROR(IF('入力シート'!$S276="表示",'入力シート'!G276,""),"")</f>
        <v/>
      </c>
      <c r="G276" s="3">
        <f>IFERROR(IF('入力シート'!$S276="表示",'入力シート'!I276,""),"")</f>
        <v/>
      </c>
      <c r="H276" s="11">
        <f>IFERROR(IF('入力シート'!$S276="表示",'入力シート'!R276,""),"")</f>
        <v/>
      </c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</row>
    <row r="277" ht="26.75" customHeight="1">
      <c r="A277" s="11">
        <f>IFERROR(IF('入力シート'!$S277="表示",'入力シート'!A277,""),"")</f>
        <v/>
      </c>
      <c r="B277" s="11">
        <f>IFERROR(IF('入力シート'!$S277="表示",'入力シート'!B277,""),"")</f>
        <v/>
      </c>
      <c r="C277" s="11">
        <f>IFERROR(IF('入力シート'!$S277="表示",'入力シート'!D277,""),"")</f>
        <v/>
      </c>
      <c r="D277" s="3">
        <f>IFERROR(IF('入力シート'!$S277="表示",'入力シート'!E277,""),"")</f>
        <v/>
      </c>
      <c r="E277" s="11">
        <f>IFERROR(IF('入力シート'!$S277="表示",'入力シート'!F277,""),"")</f>
        <v/>
      </c>
      <c r="F277" s="3">
        <f>IFERROR(IF('入力シート'!$S277="表示",'入力シート'!G277,""),"")</f>
        <v/>
      </c>
      <c r="G277" s="3">
        <f>IFERROR(IF('入力シート'!$S277="表示",'入力シート'!I277,""),"")</f>
        <v/>
      </c>
      <c r="H277" s="11">
        <f>IFERROR(IF('入力シート'!$S277="表示",'入力シート'!R277,""),"")</f>
        <v/>
      </c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</row>
    <row r="278" ht="26.75" customHeight="1">
      <c r="A278" s="11">
        <f>IFERROR(IF('入力シート'!$S278="表示",'入力シート'!A278,""),"")</f>
        <v/>
      </c>
      <c r="B278" s="11">
        <f>IFERROR(IF('入力シート'!$S278="表示",'入力シート'!B278,""),"")</f>
        <v/>
      </c>
      <c r="C278" s="11">
        <f>IFERROR(IF('入力シート'!$S278="表示",'入力シート'!D278,""),"")</f>
        <v/>
      </c>
      <c r="D278" s="3">
        <f>IFERROR(IF('入力シート'!$S278="表示",'入力シート'!E278,""),"")</f>
        <v/>
      </c>
      <c r="E278" s="11">
        <f>IFERROR(IF('入力シート'!$S278="表示",'入力シート'!F278,""),"")</f>
        <v/>
      </c>
      <c r="F278" s="3">
        <f>IFERROR(IF('入力シート'!$S278="表示",'入力シート'!G278,""),"")</f>
        <v/>
      </c>
      <c r="G278" s="3">
        <f>IFERROR(IF('入力シート'!$S278="表示",'入力シート'!I278,""),"")</f>
        <v/>
      </c>
      <c r="H278" s="11">
        <f>IFERROR(IF('入力シート'!$S278="表示",'入力シート'!R278,""),"")</f>
        <v/>
      </c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</row>
    <row r="279" ht="26.75" customHeight="1">
      <c r="A279" s="11">
        <f>IFERROR(IF('入力シート'!$S279="表示",'入力シート'!A279,""),"")</f>
        <v/>
      </c>
      <c r="B279" s="11">
        <f>IFERROR(IF('入力シート'!$S279="表示",'入力シート'!B279,""),"")</f>
        <v/>
      </c>
      <c r="C279" s="11">
        <f>IFERROR(IF('入力シート'!$S279="表示",'入力シート'!D279,""),"")</f>
        <v/>
      </c>
      <c r="D279" s="3">
        <f>IFERROR(IF('入力シート'!$S279="表示",'入力シート'!E279,""),"")</f>
        <v/>
      </c>
      <c r="E279" s="11">
        <f>IFERROR(IF('入力シート'!$S279="表示",'入力シート'!F279,""),"")</f>
        <v/>
      </c>
      <c r="F279" s="3">
        <f>IFERROR(IF('入力シート'!$S279="表示",'入力シート'!G279,""),"")</f>
        <v/>
      </c>
      <c r="G279" s="3">
        <f>IFERROR(IF('入力シート'!$S279="表示",'入力シート'!I279,""),"")</f>
        <v/>
      </c>
      <c r="H279" s="11">
        <f>IFERROR(IF('入力シート'!$S279="表示",'入力シート'!R279,""),"")</f>
        <v/>
      </c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</row>
    <row r="280" ht="26.75" customHeight="1">
      <c r="A280" s="11">
        <f>IFERROR(IF('入力シート'!$S280="表示",'入力シート'!A280,""),"")</f>
        <v/>
      </c>
      <c r="B280" s="11">
        <f>IFERROR(IF('入力シート'!$S280="表示",'入力シート'!B280,""),"")</f>
        <v/>
      </c>
      <c r="C280" s="11">
        <f>IFERROR(IF('入力シート'!$S280="表示",'入力シート'!D280,""),"")</f>
        <v/>
      </c>
      <c r="D280" s="3">
        <f>IFERROR(IF('入力シート'!$S280="表示",'入力シート'!E280,""),"")</f>
        <v/>
      </c>
      <c r="E280" s="11">
        <f>IFERROR(IF('入力シート'!$S280="表示",'入力シート'!F280,""),"")</f>
        <v/>
      </c>
      <c r="F280" s="3">
        <f>IFERROR(IF('入力シート'!$S280="表示",'入力シート'!G280,""),"")</f>
        <v/>
      </c>
      <c r="G280" s="3">
        <f>IFERROR(IF('入力シート'!$S280="表示",'入力シート'!I280,""),"")</f>
        <v/>
      </c>
      <c r="H280" s="11">
        <f>IFERROR(IF('入力シート'!$S280="表示",'入力シート'!R280,""),"")</f>
        <v/>
      </c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</row>
    <row r="281" ht="26.75" customHeight="1">
      <c r="A281" s="11">
        <f>IFERROR(IF('入力シート'!$S281="表示",'入力シート'!A281,""),"")</f>
        <v/>
      </c>
      <c r="B281" s="11">
        <f>IFERROR(IF('入力シート'!$S281="表示",'入力シート'!B281,""),"")</f>
        <v/>
      </c>
      <c r="C281" s="11">
        <f>IFERROR(IF('入力シート'!$S281="表示",'入力シート'!D281,""),"")</f>
        <v/>
      </c>
      <c r="D281" s="3">
        <f>IFERROR(IF('入力シート'!$S281="表示",'入力シート'!E281,""),"")</f>
        <v/>
      </c>
      <c r="E281" s="11">
        <f>IFERROR(IF('入力シート'!$S281="表示",'入力シート'!F281,""),"")</f>
        <v/>
      </c>
      <c r="F281" s="3">
        <f>IFERROR(IF('入力シート'!$S281="表示",'入力シート'!G281,""),"")</f>
        <v/>
      </c>
      <c r="G281" s="3">
        <f>IFERROR(IF('入力シート'!$S281="表示",'入力シート'!I281,""),"")</f>
        <v/>
      </c>
      <c r="H281" s="11">
        <f>IFERROR(IF('入力シート'!$S281="表示",'入力シート'!R281,""),"")</f>
        <v/>
      </c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</row>
    <row r="282" ht="26.75" customHeight="1">
      <c r="A282" s="11">
        <f>IFERROR(IF('入力シート'!$S282="表示",'入力シート'!A282,""),"")</f>
        <v/>
      </c>
      <c r="B282" s="11">
        <f>IFERROR(IF('入力シート'!$S282="表示",'入力シート'!B282,""),"")</f>
        <v/>
      </c>
      <c r="C282" s="11">
        <f>IFERROR(IF('入力シート'!$S282="表示",'入力シート'!D282,""),"")</f>
        <v/>
      </c>
      <c r="D282" s="3">
        <f>IFERROR(IF('入力シート'!$S282="表示",'入力シート'!E282,""),"")</f>
        <v/>
      </c>
      <c r="E282" s="11">
        <f>IFERROR(IF('入力シート'!$S282="表示",'入力シート'!F282,""),"")</f>
        <v/>
      </c>
      <c r="F282" s="3">
        <f>IFERROR(IF('入力シート'!$S282="表示",'入力シート'!G282,""),"")</f>
        <v/>
      </c>
      <c r="G282" s="3">
        <f>IFERROR(IF('入力シート'!$S282="表示",'入力シート'!I282,""),"")</f>
        <v/>
      </c>
      <c r="H282" s="11">
        <f>IFERROR(IF('入力シート'!$S282="表示",'入力シート'!R282,""),"")</f>
        <v/>
      </c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</row>
    <row r="283" ht="26.75" customHeight="1">
      <c r="A283" s="11">
        <f>IFERROR(IF('入力シート'!$S283="表示",'入力シート'!A283,""),"")</f>
        <v/>
      </c>
      <c r="B283" s="11">
        <f>IFERROR(IF('入力シート'!$S283="表示",'入力シート'!B283,""),"")</f>
        <v/>
      </c>
      <c r="C283" s="11">
        <f>IFERROR(IF('入力シート'!$S283="表示",'入力シート'!D283,""),"")</f>
        <v/>
      </c>
      <c r="D283" s="3">
        <f>IFERROR(IF('入力シート'!$S283="表示",'入力シート'!E283,""),"")</f>
        <v/>
      </c>
      <c r="E283" s="11">
        <f>IFERROR(IF('入力シート'!$S283="表示",'入力シート'!F283,""),"")</f>
        <v/>
      </c>
      <c r="F283" s="3">
        <f>IFERROR(IF('入力シート'!$S283="表示",'入力シート'!G283,""),"")</f>
        <v/>
      </c>
      <c r="G283" s="3">
        <f>IFERROR(IF('入力シート'!$S283="表示",'入力シート'!I283,""),"")</f>
        <v/>
      </c>
      <c r="H283" s="11">
        <f>IFERROR(IF('入力シート'!$S283="表示",'入力シート'!R283,""),"")</f>
        <v/>
      </c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</row>
    <row r="284" ht="26.75" customHeight="1">
      <c r="A284" s="11">
        <f>IFERROR(IF('入力シート'!$S284="表示",'入力シート'!A284,""),"")</f>
        <v/>
      </c>
      <c r="B284" s="11">
        <f>IFERROR(IF('入力シート'!$S284="表示",'入力シート'!B284,""),"")</f>
        <v/>
      </c>
      <c r="C284" s="11">
        <f>IFERROR(IF('入力シート'!$S284="表示",'入力シート'!D284,""),"")</f>
        <v/>
      </c>
      <c r="D284" s="3">
        <f>IFERROR(IF('入力シート'!$S284="表示",'入力シート'!E284,""),"")</f>
        <v/>
      </c>
      <c r="E284" s="11">
        <f>IFERROR(IF('入力シート'!$S284="表示",'入力シート'!F284,""),"")</f>
        <v/>
      </c>
      <c r="F284" s="3">
        <f>IFERROR(IF('入力シート'!$S284="表示",'入力シート'!G284,""),"")</f>
        <v/>
      </c>
      <c r="G284" s="3">
        <f>IFERROR(IF('入力シート'!$S284="表示",'入力シート'!I284,""),"")</f>
        <v/>
      </c>
      <c r="H284" s="11">
        <f>IFERROR(IF('入力シート'!$S284="表示",'入力シート'!R284,""),"")</f>
        <v/>
      </c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</row>
    <row r="285" ht="26.75" customHeight="1">
      <c r="A285" s="11">
        <f>IFERROR(IF('入力シート'!$S285="表示",'入力シート'!A285,""),"")</f>
        <v/>
      </c>
      <c r="B285" s="11">
        <f>IFERROR(IF('入力シート'!$S285="表示",'入力シート'!B285,""),"")</f>
        <v/>
      </c>
      <c r="C285" s="11">
        <f>IFERROR(IF('入力シート'!$S285="表示",'入力シート'!D285,""),"")</f>
        <v/>
      </c>
      <c r="D285" s="3">
        <f>IFERROR(IF('入力シート'!$S285="表示",'入力シート'!E285,""),"")</f>
        <v/>
      </c>
      <c r="E285" s="11">
        <f>IFERROR(IF('入力シート'!$S285="表示",'入力シート'!F285,""),"")</f>
        <v/>
      </c>
      <c r="F285" s="3">
        <f>IFERROR(IF('入力シート'!$S285="表示",'入力シート'!G285,""),"")</f>
        <v/>
      </c>
      <c r="G285" s="3">
        <f>IFERROR(IF('入力シート'!$S285="表示",'入力シート'!I285,""),"")</f>
        <v/>
      </c>
      <c r="H285" s="11">
        <f>IFERROR(IF('入力シート'!$S285="表示",'入力シート'!R285,""),"")</f>
        <v/>
      </c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</row>
    <row r="286" ht="26.75" customHeight="1">
      <c r="A286" s="11">
        <f>IFERROR(IF('入力シート'!$S286="表示",'入力シート'!A286,""),"")</f>
        <v/>
      </c>
      <c r="B286" s="11">
        <f>IFERROR(IF('入力シート'!$S286="表示",'入力シート'!B286,""),"")</f>
        <v/>
      </c>
      <c r="C286" s="11">
        <f>IFERROR(IF('入力シート'!$S286="表示",'入力シート'!D286,""),"")</f>
        <v/>
      </c>
      <c r="D286" s="3">
        <f>IFERROR(IF('入力シート'!$S286="表示",'入力シート'!E286,""),"")</f>
        <v/>
      </c>
      <c r="E286" s="11">
        <f>IFERROR(IF('入力シート'!$S286="表示",'入力シート'!F286,""),"")</f>
        <v/>
      </c>
      <c r="F286" s="3">
        <f>IFERROR(IF('入力シート'!$S286="表示",'入力シート'!G286,""),"")</f>
        <v/>
      </c>
      <c r="G286" s="3">
        <f>IFERROR(IF('入力シート'!$S286="表示",'入力シート'!I286,""),"")</f>
        <v/>
      </c>
      <c r="H286" s="11">
        <f>IFERROR(IF('入力シート'!$S286="表示",'入力シート'!R286,""),"")</f>
        <v/>
      </c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</row>
    <row r="287" ht="26.75" customHeight="1">
      <c r="A287" s="11">
        <f>IFERROR(IF('入力シート'!$S287="表示",'入力シート'!A287,""),"")</f>
        <v/>
      </c>
      <c r="B287" s="11">
        <f>IFERROR(IF('入力シート'!$S287="表示",'入力シート'!B287,""),"")</f>
        <v/>
      </c>
      <c r="C287" s="11">
        <f>IFERROR(IF('入力シート'!$S287="表示",'入力シート'!D287,""),"")</f>
        <v/>
      </c>
      <c r="D287" s="3">
        <f>IFERROR(IF('入力シート'!$S287="表示",'入力シート'!E287,""),"")</f>
        <v/>
      </c>
      <c r="E287" s="11">
        <f>IFERROR(IF('入力シート'!$S287="表示",'入力シート'!F287,""),"")</f>
        <v/>
      </c>
      <c r="F287" s="3">
        <f>IFERROR(IF('入力シート'!$S287="表示",'入力シート'!G287,""),"")</f>
        <v/>
      </c>
      <c r="G287" s="3">
        <f>IFERROR(IF('入力シート'!$S287="表示",'入力シート'!I287,""),"")</f>
        <v/>
      </c>
      <c r="H287" s="11">
        <f>IFERROR(IF('入力シート'!$S287="表示",'入力シート'!R287,""),"")</f>
        <v/>
      </c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</row>
    <row r="288" ht="26.75" customHeight="1">
      <c r="A288" s="11">
        <f>IFERROR(IF('入力シート'!$S288="表示",'入力シート'!A288,""),"")</f>
        <v/>
      </c>
      <c r="B288" s="11">
        <f>IFERROR(IF('入力シート'!$S288="表示",'入力シート'!B288,""),"")</f>
        <v/>
      </c>
      <c r="C288" s="11">
        <f>IFERROR(IF('入力シート'!$S288="表示",'入力シート'!D288,""),"")</f>
        <v/>
      </c>
      <c r="D288" s="3">
        <f>IFERROR(IF('入力シート'!$S288="表示",'入力シート'!E288,""),"")</f>
        <v/>
      </c>
      <c r="E288" s="11">
        <f>IFERROR(IF('入力シート'!$S288="表示",'入力シート'!F288,""),"")</f>
        <v/>
      </c>
      <c r="F288" s="3">
        <f>IFERROR(IF('入力シート'!$S288="表示",'入力シート'!G288,""),"")</f>
        <v/>
      </c>
      <c r="G288" s="3">
        <f>IFERROR(IF('入力シート'!$S288="表示",'入力シート'!I288,""),"")</f>
        <v/>
      </c>
      <c r="H288" s="11">
        <f>IFERROR(IF('入力シート'!$S288="表示",'入力シート'!R288,""),"")</f>
        <v/>
      </c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</row>
    <row r="289" ht="26.75" customHeight="1">
      <c r="A289" s="11">
        <f>IFERROR(IF('入力シート'!$S289="表示",'入力シート'!A289,""),"")</f>
        <v/>
      </c>
      <c r="B289" s="11">
        <f>IFERROR(IF('入力シート'!$S289="表示",'入力シート'!B289,""),"")</f>
        <v/>
      </c>
      <c r="C289" s="11">
        <f>IFERROR(IF('入力シート'!$S289="表示",'入力シート'!D289,""),"")</f>
        <v/>
      </c>
      <c r="D289" s="3">
        <f>IFERROR(IF('入力シート'!$S289="表示",'入力シート'!E289,""),"")</f>
        <v/>
      </c>
      <c r="E289" s="11">
        <f>IFERROR(IF('入力シート'!$S289="表示",'入力シート'!F289,""),"")</f>
        <v/>
      </c>
      <c r="F289" s="3">
        <f>IFERROR(IF('入力シート'!$S289="表示",'入力シート'!G289,""),"")</f>
        <v/>
      </c>
      <c r="G289" s="3">
        <f>IFERROR(IF('入力シート'!$S289="表示",'入力シート'!I289,""),"")</f>
        <v/>
      </c>
      <c r="H289" s="11">
        <f>IFERROR(IF('入力シート'!$S289="表示",'入力シート'!R289,""),"")</f>
        <v/>
      </c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</row>
    <row r="290" ht="26.75" customHeight="1">
      <c r="A290" s="11">
        <f>IFERROR(IF('入力シート'!$S290="表示",'入力シート'!A290,""),"")</f>
        <v/>
      </c>
      <c r="B290" s="11">
        <f>IFERROR(IF('入力シート'!$S290="表示",'入力シート'!B290,""),"")</f>
        <v/>
      </c>
      <c r="C290" s="11">
        <f>IFERROR(IF('入力シート'!$S290="表示",'入力シート'!D290,""),"")</f>
        <v/>
      </c>
      <c r="D290" s="3">
        <f>IFERROR(IF('入力シート'!$S290="表示",'入力シート'!E290,""),"")</f>
        <v/>
      </c>
      <c r="E290" s="11">
        <f>IFERROR(IF('入力シート'!$S290="表示",'入力シート'!F290,""),"")</f>
        <v/>
      </c>
      <c r="F290" s="3">
        <f>IFERROR(IF('入力シート'!$S290="表示",'入力シート'!G290,""),"")</f>
        <v/>
      </c>
      <c r="G290" s="3">
        <f>IFERROR(IF('入力シート'!$S290="表示",'入力シート'!I290,""),"")</f>
        <v/>
      </c>
      <c r="H290" s="11">
        <f>IFERROR(IF('入力シート'!$S290="表示",'入力シート'!R290,""),"")</f>
        <v/>
      </c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</row>
    <row r="291" ht="26.75" customHeight="1">
      <c r="A291" s="11">
        <f>IFERROR(IF('入力シート'!$S291="表示",'入力シート'!A291,""),"")</f>
        <v/>
      </c>
      <c r="B291" s="11">
        <f>IFERROR(IF('入力シート'!$S291="表示",'入力シート'!B291,""),"")</f>
        <v/>
      </c>
      <c r="C291" s="11">
        <f>IFERROR(IF('入力シート'!$S291="表示",'入力シート'!D291,""),"")</f>
        <v/>
      </c>
      <c r="D291" s="3">
        <f>IFERROR(IF('入力シート'!$S291="表示",'入力シート'!E291,""),"")</f>
        <v/>
      </c>
      <c r="E291" s="11">
        <f>IFERROR(IF('入力シート'!$S291="表示",'入力シート'!F291,""),"")</f>
        <v/>
      </c>
      <c r="F291" s="3">
        <f>IFERROR(IF('入力シート'!$S291="表示",'入力シート'!G291,""),"")</f>
        <v/>
      </c>
      <c r="G291" s="3">
        <f>IFERROR(IF('入力シート'!$S291="表示",'入力シート'!I291,""),"")</f>
        <v/>
      </c>
      <c r="H291" s="11">
        <f>IFERROR(IF('入力シート'!$S291="表示",'入力シート'!R291,""),"")</f>
        <v/>
      </c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</row>
    <row r="292" ht="26.75" customHeight="1">
      <c r="A292" s="11">
        <f>IFERROR(IF('入力シート'!$S292="表示",'入力シート'!A292,""),"")</f>
        <v/>
      </c>
      <c r="B292" s="11">
        <f>IFERROR(IF('入力シート'!$S292="表示",'入力シート'!B292,""),"")</f>
        <v/>
      </c>
      <c r="C292" s="11">
        <f>IFERROR(IF('入力シート'!$S292="表示",'入力シート'!D292,""),"")</f>
        <v/>
      </c>
      <c r="D292" s="3">
        <f>IFERROR(IF('入力シート'!$S292="表示",'入力シート'!E292,""),"")</f>
        <v/>
      </c>
      <c r="E292" s="11">
        <f>IFERROR(IF('入力シート'!$S292="表示",'入力シート'!F292,""),"")</f>
        <v/>
      </c>
      <c r="F292" s="3">
        <f>IFERROR(IF('入力シート'!$S292="表示",'入力シート'!G292,""),"")</f>
        <v/>
      </c>
      <c r="G292" s="3">
        <f>IFERROR(IF('入力シート'!$S292="表示",'入力シート'!I292,""),"")</f>
        <v/>
      </c>
      <c r="H292" s="11">
        <f>IFERROR(IF('入力シート'!$S292="表示",'入力シート'!R292,""),"")</f>
        <v/>
      </c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</row>
    <row r="293" ht="26.75" customHeight="1">
      <c r="A293" s="11">
        <f>IFERROR(IF('入力シート'!$S293="表示",'入力シート'!A293,""),"")</f>
        <v/>
      </c>
      <c r="B293" s="11">
        <f>IFERROR(IF('入力シート'!$S293="表示",'入力シート'!B293,""),"")</f>
        <v/>
      </c>
      <c r="C293" s="11">
        <f>IFERROR(IF('入力シート'!$S293="表示",'入力シート'!D293,""),"")</f>
        <v/>
      </c>
      <c r="D293" s="3">
        <f>IFERROR(IF('入力シート'!$S293="表示",'入力シート'!E293,""),"")</f>
        <v/>
      </c>
      <c r="E293" s="11">
        <f>IFERROR(IF('入力シート'!$S293="表示",'入力シート'!F293,""),"")</f>
        <v/>
      </c>
      <c r="F293" s="3">
        <f>IFERROR(IF('入力シート'!$S293="表示",'入力シート'!G293,""),"")</f>
        <v/>
      </c>
      <c r="G293" s="3">
        <f>IFERROR(IF('入力シート'!$S293="表示",'入力シート'!I293,""),"")</f>
        <v/>
      </c>
      <c r="H293" s="11">
        <f>IFERROR(IF('入力シート'!$S293="表示",'入力シート'!R293,""),"")</f>
        <v/>
      </c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</row>
    <row r="294" ht="26.75" customHeight="1">
      <c r="A294" s="11">
        <f>IFERROR(IF('入力シート'!$S294="表示",'入力シート'!A294,""),"")</f>
        <v/>
      </c>
      <c r="B294" s="11">
        <f>IFERROR(IF('入力シート'!$S294="表示",'入力シート'!B294,""),"")</f>
        <v/>
      </c>
      <c r="C294" s="11">
        <f>IFERROR(IF('入力シート'!$S294="表示",'入力シート'!D294,""),"")</f>
        <v/>
      </c>
      <c r="D294" s="3">
        <f>IFERROR(IF('入力シート'!$S294="表示",'入力シート'!E294,""),"")</f>
        <v/>
      </c>
      <c r="E294" s="11">
        <f>IFERROR(IF('入力シート'!$S294="表示",'入力シート'!F294,""),"")</f>
        <v/>
      </c>
      <c r="F294" s="3">
        <f>IFERROR(IF('入力シート'!$S294="表示",'入力シート'!G294,""),"")</f>
        <v/>
      </c>
      <c r="G294" s="3">
        <f>IFERROR(IF('入力シート'!$S294="表示",'入力シート'!I294,""),"")</f>
        <v/>
      </c>
      <c r="H294" s="11">
        <f>IFERROR(IF('入力シート'!$S294="表示",'入力シート'!R294,""),"")</f>
        <v/>
      </c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</row>
    <row r="295" ht="26.75" customHeight="1">
      <c r="A295" s="11">
        <f>IFERROR(IF('入力シート'!$S295="表示",'入力シート'!A295,""),"")</f>
        <v/>
      </c>
      <c r="B295" s="11">
        <f>IFERROR(IF('入力シート'!$S295="表示",'入力シート'!B295,""),"")</f>
        <v/>
      </c>
      <c r="C295" s="11">
        <f>IFERROR(IF('入力シート'!$S295="表示",'入力シート'!D295,""),"")</f>
        <v/>
      </c>
      <c r="D295" s="3">
        <f>IFERROR(IF('入力シート'!$S295="表示",'入力シート'!E295,""),"")</f>
        <v/>
      </c>
      <c r="E295" s="11">
        <f>IFERROR(IF('入力シート'!$S295="表示",'入力シート'!F295,""),"")</f>
        <v/>
      </c>
      <c r="F295" s="3">
        <f>IFERROR(IF('入力シート'!$S295="表示",'入力シート'!G295,""),"")</f>
        <v/>
      </c>
      <c r="G295" s="3">
        <f>IFERROR(IF('入力シート'!$S295="表示",'入力シート'!I295,""),"")</f>
        <v/>
      </c>
      <c r="H295" s="11">
        <f>IFERROR(IF('入力シート'!$S295="表示",'入力シート'!R295,""),"")</f>
        <v/>
      </c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</row>
    <row r="296" ht="26.75" customHeight="1">
      <c r="A296" s="11">
        <f>IFERROR(IF('入力シート'!$S296="表示",'入力シート'!A296,""),"")</f>
        <v/>
      </c>
      <c r="B296" s="11">
        <f>IFERROR(IF('入力シート'!$S296="表示",'入力シート'!B296,""),"")</f>
        <v/>
      </c>
      <c r="C296" s="11">
        <f>IFERROR(IF('入力シート'!$S296="表示",'入力シート'!D296,""),"")</f>
        <v/>
      </c>
      <c r="D296" s="3">
        <f>IFERROR(IF('入力シート'!$S296="表示",'入力シート'!E296,""),"")</f>
        <v/>
      </c>
      <c r="E296" s="11">
        <f>IFERROR(IF('入力シート'!$S296="表示",'入力シート'!F296,""),"")</f>
        <v/>
      </c>
      <c r="F296" s="3">
        <f>IFERROR(IF('入力シート'!$S296="表示",'入力シート'!G296,""),"")</f>
        <v/>
      </c>
      <c r="G296" s="3">
        <f>IFERROR(IF('入力シート'!$S296="表示",'入力シート'!I296,""),"")</f>
        <v/>
      </c>
      <c r="H296" s="11">
        <f>IFERROR(IF('入力シート'!$S296="表示",'入力シート'!R296,""),"")</f>
        <v/>
      </c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</row>
    <row r="297" ht="26.75" customHeight="1">
      <c r="A297" s="11">
        <f>IFERROR(IF('入力シート'!$S297="表示",'入力シート'!A297,""),"")</f>
        <v/>
      </c>
      <c r="B297" s="11">
        <f>IFERROR(IF('入力シート'!$S297="表示",'入力シート'!B297,""),"")</f>
        <v/>
      </c>
      <c r="C297" s="11">
        <f>IFERROR(IF('入力シート'!$S297="表示",'入力シート'!D297,""),"")</f>
        <v/>
      </c>
      <c r="D297" s="3">
        <f>IFERROR(IF('入力シート'!$S297="表示",'入力シート'!E297,""),"")</f>
        <v/>
      </c>
      <c r="E297" s="11">
        <f>IFERROR(IF('入力シート'!$S297="表示",'入力シート'!F297,""),"")</f>
        <v/>
      </c>
      <c r="F297" s="3">
        <f>IFERROR(IF('入力シート'!$S297="表示",'入力シート'!G297,""),"")</f>
        <v/>
      </c>
      <c r="G297" s="3">
        <f>IFERROR(IF('入力シート'!$S297="表示",'入力シート'!I297,""),"")</f>
        <v/>
      </c>
      <c r="H297" s="11">
        <f>IFERROR(IF('入力シート'!$S297="表示",'入力シート'!R297,""),"")</f>
        <v/>
      </c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</row>
    <row r="298" ht="26.75" customHeight="1">
      <c r="A298" s="11">
        <f>IFERROR(IF('入力シート'!$S298="表示",'入力シート'!A298,""),"")</f>
        <v/>
      </c>
      <c r="B298" s="11">
        <f>IFERROR(IF('入力シート'!$S298="表示",'入力シート'!B298,""),"")</f>
        <v/>
      </c>
      <c r="C298" s="11">
        <f>IFERROR(IF('入力シート'!$S298="表示",'入力シート'!D298,""),"")</f>
        <v/>
      </c>
      <c r="D298" s="3">
        <f>IFERROR(IF('入力シート'!$S298="表示",'入力シート'!E298,""),"")</f>
        <v/>
      </c>
      <c r="E298" s="11">
        <f>IFERROR(IF('入力シート'!$S298="表示",'入力シート'!F298,""),"")</f>
        <v/>
      </c>
      <c r="F298" s="3">
        <f>IFERROR(IF('入力シート'!$S298="表示",'入力シート'!G298,""),"")</f>
        <v/>
      </c>
      <c r="G298" s="3">
        <f>IFERROR(IF('入力シート'!$S298="表示",'入力シート'!I298,""),"")</f>
        <v/>
      </c>
      <c r="H298" s="11">
        <f>IFERROR(IF('入力シート'!$S298="表示",'入力シート'!R298,""),"")</f>
        <v/>
      </c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</row>
    <row r="299" ht="26.75" customHeight="1">
      <c r="A299" s="11">
        <f>IFERROR(IF('入力シート'!$S299="表示",'入力シート'!A299,""),"")</f>
        <v/>
      </c>
      <c r="B299" s="11">
        <f>IFERROR(IF('入力シート'!$S299="表示",'入力シート'!B299,""),"")</f>
        <v/>
      </c>
      <c r="C299" s="11">
        <f>IFERROR(IF('入力シート'!$S299="表示",'入力シート'!D299,""),"")</f>
        <v/>
      </c>
      <c r="D299" s="3">
        <f>IFERROR(IF('入力シート'!$S299="表示",'入力シート'!E299,""),"")</f>
        <v/>
      </c>
      <c r="E299" s="11">
        <f>IFERROR(IF('入力シート'!$S299="表示",'入力シート'!F299,""),"")</f>
        <v/>
      </c>
      <c r="F299" s="3">
        <f>IFERROR(IF('入力シート'!$S299="表示",'入力シート'!G299,""),"")</f>
        <v/>
      </c>
      <c r="G299" s="3">
        <f>IFERROR(IF('入力シート'!$S299="表示",'入力シート'!I299,""),"")</f>
        <v/>
      </c>
      <c r="H299" s="11">
        <f>IFERROR(IF('入力シート'!$S299="表示",'入力シート'!R299,""),"")</f>
        <v/>
      </c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</row>
    <row r="300" ht="26.75" customHeight="1">
      <c r="A300" s="11">
        <f>IFERROR(IF('入力シート'!$S300="表示",'入力シート'!A300,""),"")</f>
        <v/>
      </c>
      <c r="B300" s="11">
        <f>IFERROR(IF('入力シート'!$S300="表示",'入力シート'!B300,""),"")</f>
        <v/>
      </c>
      <c r="C300" s="11">
        <f>IFERROR(IF('入力シート'!$S300="表示",'入力シート'!D300,""),"")</f>
        <v/>
      </c>
      <c r="D300" s="3">
        <f>IFERROR(IF('入力シート'!$S300="表示",'入力シート'!E300,""),"")</f>
        <v/>
      </c>
      <c r="E300" s="11">
        <f>IFERROR(IF('入力シート'!$S300="表示",'入力シート'!F300,""),"")</f>
        <v/>
      </c>
      <c r="F300" s="3">
        <f>IFERROR(IF('入力シート'!$S300="表示",'入力シート'!G300,""),"")</f>
        <v/>
      </c>
      <c r="G300" s="3">
        <f>IFERROR(IF('入力シート'!$S300="表示",'入力シート'!I300,""),"")</f>
        <v/>
      </c>
      <c r="H300" s="11">
        <f>IFERROR(IF('入力シート'!$S300="表示",'入力シート'!R300,""),"")</f>
        <v/>
      </c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</row>
    <row r="301">
      <c r="A301" s="11">
        <f>IFERROR(IF('入力シート'!$S301="表示",'入力シート'!A301,""),"")</f>
        <v/>
      </c>
      <c r="B301" s="11">
        <f>IFERROR(IF('入力シート'!$S301="表示",'入力シート'!B301,""),"")</f>
        <v/>
      </c>
      <c r="C301" s="11">
        <f>IFERROR(IF('入力シート'!$S301="表示",'入力シート'!D301,""),"")</f>
        <v/>
      </c>
      <c r="D301" s="3">
        <f>IFERROR(IF('入力シート'!$S301="表示",'入力シート'!E301,""),"")</f>
        <v/>
      </c>
      <c r="E301" s="11">
        <f>IFERROR(IF('入力シート'!$S301="表示",'入力シート'!F301,""),"")</f>
        <v/>
      </c>
      <c r="F301" s="3">
        <f>IFERROR(IF('入力シート'!$S301="表示",'入力シート'!G301,""),"")</f>
        <v/>
      </c>
      <c r="G301" s="3">
        <f>IFERROR(IF('入力シート'!$S301="表示",'入力シート'!I301,""),"")</f>
        <v/>
      </c>
      <c r="H301" s="11">
        <f>IFERROR(IF('入力シート'!$S301="表示",'入力シート'!R301,""),"")</f>
        <v/>
      </c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01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4" customWidth="1" min="2" max="3"/>
    <col width="12" customWidth="1" min="4" max="4"/>
    <col width="10" customWidth="1" min="5" max="7"/>
    <col width="18" customWidth="1" min="8" max="8"/>
  </cols>
  <sheetData>
    <row r="1" ht="34" customHeight="1">
      <c r="A1" s="14" t="inlineStr">
        <is>
          <t>社内実行予算書</t>
        </is>
      </c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</row>
    <row r="2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</row>
    <row r="3" ht="26.75" customHeight="1">
      <c r="A3" s="1" t="inlineStr">
        <is>
          <t>工区・部屋</t>
        </is>
      </c>
      <c r="B3" s="1" t="inlineStr">
        <is>
          <t>お客様見積</t>
        </is>
      </c>
      <c r="C3" s="1" t="inlineStr">
        <is>
          <t>社内実行予算</t>
        </is>
      </c>
      <c r="D3" s="1" t="inlineStr">
        <is>
          <t>粗利額</t>
        </is>
      </c>
      <c r="E3" s="1" t="inlineStr">
        <is>
          <t>粗利率</t>
        </is>
      </c>
      <c r="F3" s="1" t="inlineStr">
        <is>
          <t>目標粗利率</t>
        </is>
      </c>
      <c r="G3" s="1" t="inlineStr">
        <is>
          <t>判定</t>
        </is>
      </c>
      <c r="H3" s="1" t="inlineStr">
        <is>
          <t>備考</t>
        </is>
      </c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 ht="26.75" customHeight="1">
      <c r="A4" s="11" t="inlineStr">
        <is>
          <t>玄関ホール、廊下、階段室吹抜</t>
        </is>
      </c>
      <c r="B4" s="3">
        <f>SUMIFS('入力シート'!$I$2:$I$301,'入力シート'!$B$2:$B$301,$A4,'入力シート'!$S$2:$S$301,"表示")</f>
        <v/>
      </c>
      <c r="C4" s="3">
        <f>SUMIFS('入力シート'!$N$2:$N$301,'入力シート'!$B$2:$B$301,$A4,'入力シート'!$S$2:$S$301,"表示")</f>
        <v/>
      </c>
      <c r="D4" s="3">
        <f>B4-C4</f>
        <v/>
      </c>
      <c r="E4" s="17">
        <f>IFERROR(D4/B4,0)</f>
        <v/>
      </c>
      <c r="F4" s="17">
        <f>'設定'!$B$4</f>
        <v/>
      </c>
      <c r="G4" s="11">
        <f>IF(E4&gt;='設定'!$B$4,"OK",IF(E4&gt;='設定'!$B$5,"注意","要改善"))</f>
        <v/>
      </c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</row>
    <row r="5" ht="26.75" customHeight="1">
      <c r="A5" s="11" t="inlineStr">
        <is>
          <t>LDK</t>
        </is>
      </c>
      <c r="B5" s="3">
        <f>SUMIFS('入力シート'!$I$2:$I$301,'入力シート'!$B$2:$B$301,$A5,'入力シート'!$S$2:$S$301,"表示")</f>
        <v/>
      </c>
      <c r="C5" s="3">
        <f>SUMIFS('入力シート'!$N$2:$N$301,'入力シート'!$B$2:$B$301,$A5,'入力シート'!$S$2:$S$301,"表示")</f>
        <v/>
      </c>
      <c r="D5" s="3">
        <f>B5-C5</f>
        <v/>
      </c>
      <c r="E5" s="17">
        <f>IFERROR(D5/B5,0)</f>
        <v/>
      </c>
      <c r="F5" s="17">
        <f>'設定'!$B$4</f>
        <v/>
      </c>
      <c r="G5" s="11">
        <f>IF(E5&gt;='設定'!$B$4,"OK",IF(E5&gt;='設定'!$B$5,"注意","要改善"))</f>
        <v/>
      </c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 ht="26.75" customHeight="1">
      <c r="A6" s="11" t="inlineStr">
        <is>
          <t>浴室</t>
        </is>
      </c>
      <c r="B6" s="3">
        <f>SUMIFS('入力シート'!$I$2:$I$301,'入力シート'!$B$2:$B$301,$A6,'入力シート'!$S$2:$S$301,"表示")</f>
        <v/>
      </c>
      <c r="C6" s="3">
        <f>SUMIFS('入力シート'!$N$2:$N$301,'入力シート'!$B$2:$B$301,$A6,'入力シート'!$S$2:$S$301,"表示")</f>
        <v/>
      </c>
      <c r="D6" s="3">
        <f>B6-C6</f>
        <v/>
      </c>
      <c r="E6" s="17">
        <f>IFERROR(D6/B6,0)</f>
        <v/>
      </c>
      <c r="F6" s="17">
        <f>'設定'!$B$4</f>
        <v/>
      </c>
      <c r="G6" s="11">
        <f>IF(E6&gt;='設定'!$B$4,"OK",IF(E6&gt;='設定'!$B$5,"注意","要改善"))</f>
        <v/>
      </c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 ht="26.75" customHeight="1">
      <c r="A7" s="11" t="inlineStr">
        <is>
          <t>洗面所</t>
        </is>
      </c>
      <c r="B7" s="3">
        <f>SUMIFS('入力シート'!$I$2:$I$301,'入力シート'!$B$2:$B$301,$A7,'入力シート'!$S$2:$S$301,"表示")</f>
        <v/>
      </c>
      <c r="C7" s="3">
        <f>SUMIFS('入力シート'!$N$2:$N$301,'入力シート'!$B$2:$B$301,$A7,'入力シート'!$S$2:$S$301,"表示")</f>
        <v/>
      </c>
      <c r="D7" s="3">
        <f>B7-C7</f>
        <v/>
      </c>
      <c r="E7" s="17">
        <f>IFERROR(D7/B7,0)</f>
        <v/>
      </c>
      <c r="F7" s="17">
        <f>'設定'!$B$4</f>
        <v/>
      </c>
      <c r="G7" s="11">
        <f>IF(E7&gt;='設定'!$B$4,"OK",IF(E7&gt;='設定'!$B$5,"注意","要改善"))</f>
        <v/>
      </c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 ht="26.75" customHeight="1">
      <c r="A8" s="11" t="inlineStr">
        <is>
          <t>トイレ</t>
        </is>
      </c>
      <c r="B8" s="3">
        <f>SUMIFS('入力シート'!$I$2:$I$301,'入力シート'!$B$2:$B$301,$A8,'入力シート'!$S$2:$S$301,"表示")</f>
        <v/>
      </c>
      <c r="C8" s="3">
        <f>SUMIFS('入力シート'!$N$2:$N$301,'入力シート'!$B$2:$B$301,$A8,'入力シート'!$S$2:$S$301,"表示")</f>
        <v/>
      </c>
      <c r="D8" s="3">
        <f>B8-C8</f>
        <v/>
      </c>
      <c r="E8" s="17">
        <f>IFERROR(D8/B8,0)</f>
        <v/>
      </c>
      <c r="F8" s="17">
        <f>'設定'!$B$4</f>
        <v/>
      </c>
      <c r="G8" s="11">
        <f>IF(E8&gt;='設定'!$B$4,"OK",IF(E8&gt;='設定'!$B$5,"注意","要改善"))</f>
        <v/>
      </c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 ht="26.75" customHeight="1">
      <c r="A9" s="11" t="inlineStr">
        <is>
          <t>1F　和室6帖</t>
        </is>
      </c>
      <c r="B9" s="3">
        <f>SUMIFS('入力シート'!$I$2:$I$301,'入力シート'!$B$2:$B$301,$A9,'入力シート'!$S$2:$S$301,"表示")</f>
        <v/>
      </c>
      <c r="C9" s="3">
        <f>SUMIFS('入力シート'!$N$2:$N$301,'入力シート'!$B$2:$B$301,$A9,'入力シート'!$S$2:$S$301,"表示")</f>
        <v/>
      </c>
      <c r="D9" s="3">
        <f>B9-C9</f>
        <v/>
      </c>
      <c r="E9" s="17">
        <f>IFERROR(D9/B9,0)</f>
        <v/>
      </c>
      <c r="F9" s="17">
        <f>'設定'!$B$4</f>
        <v/>
      </c>
      <c r="G9" s="11">
        <f>IF(E9&gt;='設定'!$B$4,"OK",IF(E9&gt;='設定'!$B$5,"注意","要改善"))</f>
        <v/>
      </c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 ht="26.75" customHeight="1">
      <c r="A10" s="11" t="inlineStr">
        <is>
          <t>2F　和室　4.5帖</t>
        </is>
      </c>
      <c r="B10" s="3">
        <f>SUMIFS('入力シート'!$I$2:$I$301,'入力シート'!$B$2:$B$301,$A10,'入力シート'!$S$2:$S$301,"表示")</f>
        <v/>
      </c>
      <c r="C10" s="3">
        <f>SUMIFS('入力シート'!$N$2:$N$301,'入力シート'!$B$2:$B$301,$A10,'入力シート'!$S$2:$S$301,"表示")</f>
        <v/>
      </c>
      <c r="D10" s="3">
        <f>B10-C10</f>
        <v/>
      </c>
      <c r="E10" s="17">
        <f>IFERROR(D10/B10,0)</f>
        <v/>
      </c>
      <c r="F10" s="17">
        <f>'設定'!$B$4</f>
        <v/>
      </c>
      <c r="G10" s="11">
        <f>IF(E10&gt;='設定'!$B$4,"OK",IF(E10&gt;='設定'!$B$5,"注意","要改善"))</f>
        <v/>
      </c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 ht="26.75" customHeight="1">
      <c r="A11" s="11" t="inlineStr">
        <is>
          <t>2F　洋間8帖　A</t>
        </is>
      </c>
      <c r="B11" s="3">
        <f>SUMIFS('入力シート'!$I$2:$I$301,'入力シート'!$B$2:$B$301,$A11,'入力シート'!$S$2:$S$301,"表示")</f>
        <v/>
      </c>
      <c r="C11" s="3">
        <f>SUMIFS('入力シート'!$N$2:$N$301,'入力シート'!$B$2:$B$301,$A11,'入力シート'!$S$2:$S$301,"表示")</f>
        <v/>
      </c>
      <c r="D11" s="3">
        <f>B11-C11</f>
        <v/>
      </c>
      <c r="E11" s="17">
        <f>IFERROR(D11/B11,0)</f>
        <v/>
      </c>
      <c r="F11" s="17">
        <f>'設定'!$B$4</f>
        <v/>
      </c>
      <c r="G11" s="11">
        <f>IF(E11&gt;='設定'!$B$4,"OK",IF(E11&gt;='設定'!$B$5,"注意","要改善"))</f>
        <v/>
      </c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ht="26.75" customHeight="1">
      <c r="A12" s="11" t="inlineStr">
        <is>
          <t>2F　洋間6帖　B</t>
        </is>
      </c>
      <c r="B12" s="3">
        <f>SUMIFS('入力シート'!$I$2:$I$301,'入力シート'!$B$2:$B$301,$A12,'入力シート'!$S$2:$S$301,"表示")</f>
        <v/>
      </c>
      <c r="C12" s="3">
        <f>SUMIFS('入力シート'!$N$2:$N$301,'入力シート'!$B$2:$B$301,$A12,'入力シート'!$S$2:$S$301,"表示")</f>
        <v/>
      </c>
      <c r="D12" s="3">
        <f>B12-C12</f>
        <v/>
      </c>
      <c r="E12" s="17">
        <f>IFERROR(D12/B12,0)</f>
        <v/>
      </c>
      <c r="F12" s="17">
        <f>'設定'!$B$4</f>
        <v/>
      </c>
      <c r="G12" s="11">
        <f>IF(E12&gt;='設定'!$B$4,"OK",IF(E12&gt;='設定'!$B$5,"注意","要改善"))</f>
        <v/>
      </c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 ht="26.75" customHeight="1">
      <c r="A13" s="11" t="inlineStr">
        <is>
          <t>2F　廊下</t>
        </is>
      </c>
      <c r="B13" s="3">
        <f>SUMIFS('入力シート'!$I$2:$I$301,'入力シート'!$B$2:$B$301,$A13,'入力シート'!$S$2:$S$301,"表示")</f>
        <v/>
      </c>
      <c r="C13" s="3">
        <f>SUMIFS('入力シート'!$N$2:$N$301,'入力シート'!$B$2:$B$301,$A13,'入力シート'!$S$2:$S$301,"表示")</f>
        <v/>
      </c>
      <c r="D13" s="3">
        <f>B13-C13</f>
        <v/>
      </c>
      <c r="E13" s="17">
        <f>IFERROR(D13/B13,0)</f>
        <v/>
      </c>
      <c r="F13" s="17">
        <f>'設定'!$B$4</f>
        <v/>
      </c>
      <c r="G13" s="11">
        <f>IF(E13&gt;='設定'!$B$4,"OK",IF(E13&gt;='設定'!$B$5,"注意","要改善"))</f>
        <v/>
      </c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</row>
    <row r="14" ht="26.75" customHeight="1">
      <c r="A14" s="11" t="inlineStr">
        <is>
          <t>屋根</t>
        </is>
      </c>
      <c r="B14" s="3">
        <f>SUMIFS('入力シート'!$I$2:$I$301,'入力シート'!$B$2:$B$301,$A14,'入力シート'!$S$2:$S$301,"表示")</f>
        <v/>
      </c>
      <c r="C14" s="3">
        <f>SUMIFS('入力シート'!$N$2:$N$301,'入力シート'!$B$2:$B$301,$A14,'入力シート'!$S$2:$S$301,"表示")</f>
        <v/>
      </c>
      <c r="D14" s="3">
        <f>B14-C14</f>
        <v/>
      </c>
      <c r="E14" s="17">
        <f>IFERROR(D14/B14,0)</f>
        <v/>
      </c>
      <c r="F14" s="17">
        <f>'設定'!$B$4</f>
        <v/>
      </c>
      <c r="G14" s="11">
        <f>IF(E14&gt;='設定'!$B$4,"OK",IF(E14&gt;='設定'!$B$5,"注意","要改善"))</f>
        <v/>
      </c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 ht="26.75" customHeight="1">
      <c r="A15" s="11" t="inlineStr">
        <is>
          <t>外壁</t>
        </is>
      </c>
      <c r="B15" s="3">
        <f>SUMIFS('入力シート'!$I$2:$I$301,'入力シート'!$B$2:$B$301,$A15,'入力シート'!$S$2:$S$301,"表示")</f>
        <v/>
      </c>
      <c r="C15" s="3">
        <f>SUMIFS('入力シート'!$N$2:$N$301,'入力シート'!$B$2:$B$301,$A15,'入力シート'!$S$2:$S$301,"表示")</f>
        <v/>
      </c>
      <c r="D15" s="3">
        <f>B15-C15</f>
        <v/>
      </c>
      <c r="E15" s="17">
        <f>IFERROR(D15/B15,0)</f>
        <v/>
      </c>
      <c r="F15" s="17">
        <f>'設定'!$B$4</f>
        <v/>
      </c>
      <c r="G15" s="11">
        <f>IF(E15&gt;='設定'!$B$4,"OK",IF(E15&gt;='設定'!$B$5,"注意","要改善"))</f>
        <v/>
      </c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</row>
    <row r="16" ht="26.75" customHeight="1">
      <c r="A16" s="19" t="inlineStr">
        <is>
          <t>未分類（下記一覧にない工区）</t>
        </is>
      </c>
      <c r="B16" s="20">
        <f>SUMIFS('入力シート'!$I$2:$I$301,'入力シート'!$S$2:$S$301,"表示")-SUM(B4:B15)</f>
        <v/>
      </c>
      <c r="C16" s="20">
        <f>SUMIFS('入力シート'!$N$2:$N$301,'入力シート'!$S$2:$S$301,"表示")-SUM(C4:C15)</f>
        <v/>
      </c>
      <c r="D16" s="20">
        <f>B16-C16</f>
        <v/>
      </c>
      <c r="E16" s="24">
        <f>IFERROR(D16/B16,0)</f>
        <v/>
      </c>
      <c r="F16" s="24">
        <f>'設定'!$B$4</f>
        <v/>
      </c>
      <c r="G16" s="7">
        <f>IF(B16=0,"",IF(E16&gt;='設定'!$B$4,"OK",IF(E16&gt;='設定'!$B$5,"注意","要改善")))</f>
        <v/>
      </c>
      <c r="H16" s="7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>
      <c r="A17" s="19" t="inlineStr">
        <is>
          <t>値引き（税抜）</t>
        </is>
      </c>
      <c r="B17" s="20">
        <f>'お客様見積書'!B21</f>
        <v/>
      </c>
      <c r="C17" s="20" t="n">
        <v>0</v>
      </c>
      <c r="D17" s="20">
        <f>B17-C17</f>
        <v/>
      </c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>
      <c r="A18" s="19" t="inlineStr">
        <is>
          <t>合計（値引後）</t>
        </is>
      </c>
      <c r="B18" s="20">
        <f>SUM(B4:B17)</f>
        <v/>
      </c>
      <c r="C18" s="20">
        <f>SUM(C4:C17)</f>
        <v/>
      </c>
      <c r="D18" s="20">
        <f>B18-C18</f>
        <v/>
      </c>
      <c r="E18" s="17">
        <f>IFERROR(D18/B18,0)</f>
        <v/>
      </c>
      <c r="F18" s="17">
        <f>'設定'!$B$4</f>
        <v/>
      </c>
      <c r="G18" s="20">
        <f>IF(E18&gt;='設定'!$B$4,"OK",IF(E18&gt;='設定'!$B$5,"注意","要改善"))</f>
        <v/>
      </c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</row>
    <row r="256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</row>
    <row r="257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</row>
    <row r="300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</row>
    <row r="30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</row>
  </sheetData>
  <mergeCells count="1">
    <mergeCell ref="A1:H1"/>
  </mergeCells>
  <conditionalFormatting sqref="G4:G16">
    <cfRule type="expression" priority="1" dxfId="4">
      <formula>$G4="要改善"</formula>
    </cfRule>
    <cfRule type="expression" priority="2" dxfId="3">
      <formula>$G4="注意"</formula>
    </cfRule>
    <cfRule type="expression" priority="3" dxfId="2">
      <formula>$G4="OK"</formula>
    </cfRule>
  </conditionalFormatting>
  <conditionalFormatting sqref="G4:G18">
    <cfRule type="expression" priority="4" dxfId="13">
      <formula>$G4="要改善"</formula>
    </cfRule>
    <cfRule type="expression" priority="5" dxfId="14">
      <formula>$G4="注意"</formula>
    </cfRule>
    <cfRule type="expression" priority="6" dxfId="15">
      <formula>$G4="OK"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1"/>
  <sheetViews>
    <sheetView workbookViewId="0">
      <selection activeCell="A1" sqref="A1"/>
    </sheetView>
  </sheetViews>
  <sheetFormatPr baseColWidth="10" defaultColWidth="8.83203125" defaultRowHeight="14"/>
  <cols>
    <col width="5" customWidth="1" min="1" max="1"/>
    <col width="24" customWidth="1" min="2" max="2"/>
    <col width="10" customWidth="1" min="3" max="3"/>
    <col width="36" customWidth="1" min="4" max="4"/>
    <col width="14" customWidth="1" min="5" max="6"/>
    <col width="12" customWidth="1" min="7" max="7"/>
    <col width="10" customWidth="1" min="8" max="8"/>
    <col width="26" customWidth="1" min="9" max="9"/>
    <col width="34" customWidth="1" min="10" max="10"/>
    <col width="10" customWidth="1" min="11" max="11"/>
  </cols>
  <sheetData>
    <row r="1" ht="26.75" customHeight="1">
      <c r="A1" s="1" t="inlineStr">
        <is>
          <t>No</t>
        </is>
      </c>
      <c r="B1" s="1" t="inlineStr">
        <is>
          <t>部屋・工区</t>
        </is>
      </c>
      <c r="C1" s="1" t="inlineStr">
        <is>
          <t>カテゴリ</t>
        </is>
      </c>
      <c r="D1" s="1" t="inlineStr">
        <is>
          <t>工事項目</t>
        </is>
      </c>
      <c r="E1" s="1" t="inlineStr">
        <is>
          <t>お客様金額</t>
        </is>
      </c>
      <c r="F1" s="1" t="inlineStr">
        <is>
          <t>実行金額</t>
        </is>
      </c>
      <c r="G1" s="1" t="inlineStr">
        <is>
          <t>粗利額</t>
        </is>
      </c>
      <c r="H1" s="1" t="inlineStr">
        <is>
          <t>粗利率</t>
        </is>
      </c>
      <c r="I1" s="1" t="inlineStr">
        <is>
          <t>定価・掛率・人工費</t>
        </is>
      </c>
      <c r="J1" s="1" t="inlineStr">
        <is>
          <t>商品名・メーカー</t>
        </is>
      </c>
      <c r="K1" s="1" t="inlineStr">
        <is>
          <t>判定</t>
        </is>
      </c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</row>
    <row r="2" ht="26.75" customHeight="1">
      <c r="A2" s="11">
        <f>IFERROR(IF('入力シート'!$A2="","",'入力シート'!A2),"")</f>
        <v/>
      </c>
      <c r="B2" s="11">
        <f>IFERROR(IF('入力シート'!$A2="","",'入力シート'!B2),"")</f>
        <v/>
      </c>
      <c r="C2" s="11">
        <f>IFERROR(IF('入力シート'!$A2="","",'入力シート'!C2),"")</f>
        <v/>
      </c>
      <c r="D2" s="11">
        <f>IFERROR(IF('入力シート'!$A2="","",'入力シート'!D2),"")</f>
        <v/>
      </c>
      <c r="E2" s="3">
        <f>IFERROR(IF('入力シート'!$A2="","",'入力シート'!I2),"")</f>
        <v/>
      </c>
      <c r="F2" s="3">
        <f>IFERROR(IF('入力シート'!$A2="","",'入力シート'!N2),"")</f>
        <v/>
      </c>
      <c r="G2" s="3">
        <f>IFERROR(IF('入力シート'!$A2="","",'入力シート'!O2),"")</f>
        <v/>
      </c>
      <c r="H2" s="17">
        <f>IFERROR(IF('入力シート'!$A2="","",'入力シート'!P2),"")</f>
        <v/>
      </c>
      <c r="I2" s="11">
        <f>IFERROR(IF('入力シート'!$A2="","",'入力シート'!Q2),"")</f>
        <v/>
      </c>
      <c r="J2" s="11">
        <f>IFERROR(IF('入力シート'!$A2="","",'入力シート'!R2),"")</f>
        <v/>
      </c>
      <c r="K2" s="11">
        <f>IFERROR(IF('入力シート'!$A2="","",IF(H2&gt;='設定'!$B$4,"OK",IF(H2&gt;='設定'!$B$5,"注意","要改善"))),"")</f>
        <v/>
      </c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</row>
    <row r="3" ht="26.75" customHeight="1">
      <c r="A3" s="11">
        <f>IFERROR(IF('入力シート'!$A3="","",'入力シート'!A3),"")</f>
        <v/>
      </c>
      <c r="B3" s="11">
        <f>IFERROR(IF('入力シート'!$A3="","",'入力シート'!B3),"")</f>
        <v/>
      </c>
      <c r="C3" s="11">
        <f>IFERROR(IF('入力シート'!$A3="","",'入力シート'!C3),"")</f>
        <v/>
      </c>
      <c r="D3" s="11">
        <f>IFERROR(IF('入力シート'!$A3="","",'入力シート'!D3),"")</f>
        <v/>
      </c>
      <c r="E3" s="3">
        <f>IFERROR(IF('入力シート'!$A3="","",'入力シート'!I3),"")</f>
        <v/>
      </c>
      <c r="F3" s="3">
        <f>IFERROR(IF('入力シート'!$A3="","",'入力シート'!N3),"")</f>
        <v/>
      </c>
      <c r="G3" s="3">
        <f>IFERROR(IF('入力シート'!$A3="","",'入力シート'!O3),"")</f>
        <v/>
      </c>
      <c r="H3" s="17">
        <f>IFERROR(IF('入力シート'!$A3="","",'入力シート'!P3),"")</f>
        <v/>
      </c>
      <c r="I3" s="11">
        <f>IFERROR(IF('入力シート'!$A3="","",'入力シート'!Q3),"")</f>
        <v/>
      </c>
      <c r="J3" s="11">
        <f>IFERROR(IF('入力シート'!$A3="","",'入力シート'!R3),"")</f>
        <v/>
      </c>
      <c r="K3" s="11">
        <f>IFERROR(IF('入力シート'!$A3="","",IF(H3&gt;='設定'!$B$4,"OK",IF(H3&gt;='設定'!$B$5,"注意","要改善"))),"")</f>
        <v/>
      </c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 ht="26.75" customHeight="1">
      <c r="A4" s="11">
        <f>IFERROR(IF('入力シート'!$A4="","",'入力シート'!A4),"")</f>
        <v/>
      </c>
      <c r="B4" s="11">
        <f>IFERROR(IF('入力シート'!$A4="","",'入力シート'!B4),"")</f>
        <v/>
      </c>
      <c r="C4" s="11">
        <f>IFERROR(IF('入力シート'!$A4="","",'入力シート'!C4),"")</f>
        <v/>
      </c>
      <c r="D4" s="11">
        <f>IFERROR(IF('入力シート'!$A4="","",'入力シート'!D4),"")</f>
        <v/>
      </c>
      <c r="E4" s="3">
        <f>IFERROR(IF('入力シート'!$A4="","",'入力シート'!I4),"")</f>
        <v/>
      </c>
      <c r="F4" s="3">
        <f>IFERROR(IF('入力シート'!$A4="","",'入力シート'!N4),"")</f>
        <v/>
      </c>
      <c r="G4" s="3">
        <f>IFERROR(IF('入力シート'!$A4="","",'入力シート'!O4),"")</f>
        <v/>
      </c>
      <c r="H4" s="17">
        <f>IFERROR(IF('入力シート'!$A4="","",'入力シート'!P4),"")</f>
        <v/>
      </c>
      <c r="I4" s="11">
        <f>IFERROR(IF('入力シート'!$A4="","",'入力シート'!Q4),"")</f>
        <v/>
      </c>
      <c r="J4" s="11">
        <f>IFERROR(IF('入力シート'!$A4="","",'入力シート'!R4),"")</f>
        <v/>
      </c>
      <c r="K4" s="11">
        <f>IFERROR(IF('入力シート'!$A4="","",IF(H4&gt;='設定'!$B$4,"OK",IF(H4&gt;='設定'!$B$5,"注意","要改善"))),"")</f>
        <v/>
      </c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</row>
    <row r="5" ht="26.75" customHeight="1">
      <c r="A5" s="11">
        <f>IFERROR(IF('入力シート'!$A5="","",'入力シート'!A5),"")</f>
        <v/>
      </c>
      <c r="B5" s="11">
        <f>IFERROR(IF('入力シート'!$A5="","",'入力シート'!B5),"")</f>
        <v/>
      </c>
      <c r="C5" s="11">
        <f>IFERROR(IF('入力シート'!$A5="","",'入力シート'!C5),"")</f>
        <v/>
      </c>
      <c r="D5" s="11">
        <f>IFERROR(IF('入力シート'!$A5="","",'入力シート'!D5),"")</f>
        <v/>
      </c>
      <c r="E5" s="3">
        <f>IFERROR(IF('入力シート'!$A5="","",'入力シート'!I5),"")</f>
        <v/>
      </c>
      <c r="F5" s="3">
        <f>IFERROR(IF('入力シート'!$A5="","",'入力シート'!N5),"")</f>
        <v/>
      </c>
      <c r="G5" s="3">
        <f>IFERROR(IF('入力シート'!$A5="","",'入力シート'!O5),"")</f>
        <v/>
      </c>
      <c r="H5" s="17">
        <f>IFERROR(IF('入力シート'!$A5="","",'入力シート'!P5),"")</f>
        <v/>
      </c>
      <c r="I5" s="11">
        <f>IFERROR(IF('入力シート'!$A5="","",'入力シート'!Q5),"")</f>
        <v/>
      </c>
      <c r="J5" s="11">
        <f>IFERROR(IF('入力シート'!$A5="","",'入力シート'!R5),"")</f>
        <v/>
      </c>
      <c r="K5" s="11">
        <f>IFERROR(IF('入力シート'!$A5="","",IF(H5&gt;='設定'!$B$4,"OK",IF(H5&gt;='設定'!$B$5,"注意","要改善"))),"")</f>
        <v/>
      </c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 ht="26.75" customHeight="1">
      <c r="A6" s="11">
        <f>IFERROR(IF('入力シート'!$A6="","",'入力シート'!A6),"")</f>
        <v/>
      </c>
      <c r="B6" s="11">
        <f>IFERROR(IF('入力シート'!$A6="","",'入力シート'!B6),"")</f>
        <v/>
      </c>
      <c r="C6" s="11">
        <f>IFERROR(IF('入力シート'!$A6="","",'入力シート'!C6),"")</f>
        <v/>
      </c>
      <c r="D6" s="11">
        <f>IFERROR(IF('入力シート'!$A6="","",'入力シート'!D6),"")</f>
        <v/>
      </c>
      <c r="E6" s="3">
        <f>IFERROR(IF('入力シート'!$A6="","",'入力シート'!I6),"")</f>
        <v/>
      </c>
      <c r="F6" s="3">
        <f>IFERROR(IF('入力シート'!$A6="","",'入力シート'!N6),"")</f>
        <v/>
      </c>
      <c r="G6" s="3">
        <f>IFERROR(IF('入力シート'!$A6="","",'入力シート'!O6),"")</f>
        <v/>
      </c>
      <c r="H6" s="17">
        <f>IFERROR(IF('入力シート'!$A6="","",'入力シート'!P6),"")</f>
        <v/>
      </c>
      <c r="I6" s="11">
        <f>IFERROR(IF('入力シート'!$A6="","",'入力シート'!Q6),"")</f>
        <v/>
      </c>
      <c r="J6" s="11">
        <f>IFERROR(IF('入力シート'!$A6="","",'入力シート'!R6),"")</f>
        <v/>
      </c>
      <c r="K6" s="11">
        <f>IFERROR(IF('入力シート'!$A6="","",IF(H6&gt;='設定'!$B$4,"OK",IF(H6&gt;='設定'!$B$5,"注意","要改善"))),"")</f>
        <v/>
      </c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 ht="26.75" customHeight="1">
      <c r="A7" s="11">
        <f>IFERROR(IF('入力シート'!$A7="","",'入力シート'!A7),"")</f>
        <v/>
      </c>
      <c r="B7" s="11">
        <f>IFERROR(IF('入力シート'!$A7="","",'入力シート'!B7),"")</f>
        <v/>
      </c>
      <c r="C7" s="11">
        <f>IFERROR(IF('入力シート'!$A7="","",'入力シート'!C7),"")</f>
        <v/>
      </c>
      <c r="D7" s="11">
        <f>IFERROR(IF('入力シート'!$A7="","",'入力シート'!D7),"")</f>
        <v/>
      </c>
      <c r="E7" s="3">
        <f>IFERROR(IF('入力シート'!$A7="","",'入力シート'!I7),"")</f>
        <v/>
      </c>
      <c r="F7" s="3">
        <f>IFERROR(IF('入力シート'!$A7="","",'入力シート'!N7),"")</f>
        <v/>
      </c>
      <c r="G7" s="3">
        <f>IFERROR(IF('入力シート'!$A7="","",'入力シート'!O7),"")</f>
        <v/>
      </c>
      <c r="H7" s="17">
        <f>IFERROR(IF('入力シート'!$A7="","",'入力シート'!P7),"")</f>
        <v/>
      </c>
      <c r="I7" s="11">
        <f>IFERROR(IF('入力シート'!$A7="","",'入力シート'!Q7),"")</f>
        <v/>
      </c>
      <c r="J7" s="11">
        <f>IFERROR(IF('入力シート'!$A7="","",'入力シート'!R7),"")</f>
        <v/>
      </c>
      <c r="K7" s="11">
        <f>IFERROR(IF('入力シート'!$A7="","",IF(H7&gt;='設定'!$B$4,"OK",IF(H7&gt;='設定'!$B$5,"注意","要改善"))),"")</f>
        <v/>
      </c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 ht="26.75" customHeight="1">
      <c r="A8" s="11">
        <f>IFERROR(IF('入力シート'!$A8="","",'入力シート'!A8),"")</f>
        <v/>
      </c>
      <c r="B8" s="11">
        <f>IFERROR(IF('入力シート'!$A8="","",'入力シート'!B8),"")</f>
        <v/>
      </c>
      <c r="C8" s="11">
        <f>IFERROR(IF('入力シート'!$A8="","",'入力シート'!C8),"")</f>
        <v/>
      </c>
      <c r="D8" s="11">
        <f>IFERROR(IF('入力シート'!$A8="","",'入力シート'!D8),"")</f>
        <v/>
      </c>
      <c r="E8" s="3">
        <f>IFERROR(IF('入力シート'!$A8="","",'入力シート'!I8),"")</f>
        <v/>
      </c>
      <c r="F8" s="3">
        <f>IFERROR(IF('入力シート'!$A8="","",'入力シート'!N8),"")</f>
        <v/>
      </c>
      <c r="G8" s="3">
        <f>IFERROR(IF('入力シート'!$A8="","",'入力シート'!O8),"")</f>
        <v/>
      </c>
      <c r="H8" s="17">
        <f>IFERROR(IF('入力シート'!$A8="","",'入力シート'!P8),"")</f>
        <v/>
      </c>
      <c r="I8" s="11">
        <f>IFERROR(IF('入力シート'!$A8="","",'入力シート'!Q8),"")</f>
        <v/>
      </c>
      <c r="J8" s="11">
        <f>IFERROR(IF('入力シート'!$A8="","",'入力シート'!R8),"")</f>
        <v/>
      </c>
      <c r="K8" s="11">
        <f>IFERROR(IF('入力シート'!$A8="","",IF(H8&gt;='設定'!$B$4,"OK",IF(H8&gt;='設定'!$B$5,"注意","要改善"))),"")</f>
        <v/>
      </c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 ht="26.75" customHeight="1">
      <c r="A9" s="11">
        <f>IFERROR(IF('入力シート'!$A9="","",'入力シート'!A9),"")</f>
        <v/>
      </c>
      <c r="B9" s="11">
        <f>IFERROR(IF('入力シート'!$A9="","",'入力シート'!B9),"")</f>
        <v/>
      </c>
      <c r="C9" s="11">
        <f>IFERROR(IF('入力シート'!$A9="","",'入力シート'!C9),"")</f>
        <v/>
      </c>
      <c r="D9" s="11">
        <f>IFERROR(IF('入力シート'!$A9="","",'入力シート'!D9),"")</f>
        <v/>
      </c>
      <c r="E9" s="3">
        <f>IFERROR(IF('入力シート'!$A9="","",'入力シート'!I9),"")</f>
        <v/>
      </c>
      <c r="F9" s="3">
        <f>IFERROR(IF('入力シート'!$A9="","",'入力シート'!N9),"")</f>
        <v/>
      </c>
      <c r="G9" s="3">
        <f>IFERROR(IF('入力シート'!$A9="","",'入力シート'!O9),"")</f>
        <v/>
      </c>
      <c r="H9" s="17">
        <f>IFERROR(IF('入力シート'!$A9="","",'入力シート'!P9),"")</f>
        <v/>
      </c>
      <c r="I9" s="11">
        <f>IFERROR(IF('入力シート'!$A9="","",'入力シート'!Q9),"")</f>
        <v/>
      </c>
      <c r="J9" s="11">
        <f>IFERROR(IF('入力シート'!$A9="","",'入力シート'!R9),"")</f>
        <v/>
      </c>
      <c r="K9" s="11">
        <f>IFERROR(IF('入力シート'!$A9="","",IF(H9&gt;='設定'!$B$4,"OK",IF(H9&gt;='設定'!$B$5,"注意","要改善"))),"")</f>
        <v/>
      </c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 ht="26.75" customHeight="1">
      <c r="A10" s="11">
        <f>IFERROR(IF('入力シート'!$A10="","",'入力シート'!A10),"")</f>
        <v/>
      </c>
      <c r="B10" s="11">
        <f>IFERROR(IF('入力シート'!$A10="","",'入力シート'!B10),"")</f>
        <v/>
      </c>
      <c r="C10" s="11">
        <f>IFERROR(IF('入力シート'!$A10="","",'入力シート'!C10),"")</f>
        <v/>
      </c>
      <c r="D10" s="11">
        <f>IFERROR(IF('入力シート'!$A10="","",'入力シート'!D10),"")</f>
        <v/>
      </c>
      <c r="E10" s="3">
        <f>IFERROR(IF('入力シート'!$A10="","",'入力シート'!I10),"")</f>
        <v/>
      </c>
      <c r="F10" s="3">
        <f>IFERROR(IF('入力シート'!$A10="","",'入力シート'!N10),"")</f>
        <v/>
      </c>
      <c r="G10" s="3">
        <f>IFERROR(IF('入力シート'!$A10="","",'入力シート'!O10),"")</f>
        <v/>
      </c>
      <c r="H10" s="17">
        <f>IFERROR(IF('入力シート'!$A10="","",'入力シート'!P10),"")</f>
        <v/>
      </c>
      <c r="I10" s="11">
        <f>IFERROR(IF('入力シート'!$A10="","",'入力シート'!Q10),"")</f>
        <v/>
      </c>
      <c r="J10" s="11">
        <f>IFERROR(IF('入力シート'!$A10="","",'入力シート'!R10),"")</f>
        <v/>
      </c>
      <c r="K10" s="11">
        <f>IFERROR(IF('入力シート'!$A10="","",IF(H10&gt;='設定'!$B$4,"OK",IF(H10&gt;='設定'!$B$5,"注意","要改善"))),"")</f>
        <v/>
      </c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 ht="26.75" customHeight="1">
      <c r="A11" s="11">
        <f>IFERROR(IF('入力シート'!$A11="","",'入力シート'!A11),"")</f>
        <v/>
      </c>
      <c r="B11" s="11">
        <f>IFERROR(IF('入力シート'!$A11="","",'入力シート'!B11),"")</f>
        <v/>
      </c>
      <c r="C11" s="11">
        <f>IFERROR(IF('入力シート'!$A11="","",'入力シート'!C11),"")</f>
        <v/>
      </c>
      <c r="D11" s="11">
        <f>IFERROR(IF('入力シート'!$A11="","",'入力シート'!D11),"")</f>
        <v/>
      </c>
      <c r="E11" s="3">
        <f>IFERROR(IF('入力シート'!$A11="","",'入力シート'!I11),"")</f>
        <v/>
      </c>
      <c r="F11" s="3">
        <f>IFERROR(IF('入力シート'!$A11="","",'入力シート'!N11),"")</f>
        <v/>
      </c>
      <c r="G11" s="3">
        <f>IFERROR(IF('入力シート'!$A11="","",'入力シート'!O11),"")</f>
        <v/>
      </c>
      <c r="H11" s="17">
        <f>IFERROR(IF('入力シート'!$A11="","",'入力シート'!P11),"")</f>
        <v/>
      </c>
      <c r="I11" s="11">
        <f>IFERROR(IF('入力シート'!$A11="","",'入力シート'!Q11),"")</f>
        <v/>
      </c>
      <c r="J11" s="11">
        <f>IFERROR(IF('入力シート'!$A11="","",'入力シート'!R11),"")</f>
        <v/>
      </c>
      <c r="K11" s="11">
        <f>IFERROR(IF('入力シート'!$A11="","",IF(H11&gt;='設定'!$B$4,"OK",IF(H11&gt;='設定'!$B$5,"注意","要改善"))),"")</f>
        <v/>
      </c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ht="26.75" customHeight="1">
      <c r="A12" s="11">
        <f>IFERROR(IF('入力シート'!$A12="","",'入力シート'!A12),"")</f>
        <v/>
      </c>
      <c r="B12" s="11">
        <f>IFERROR(IF('入力シート'!$A12="","",'入力シート'!B12),"")</f>
        <v/>
      </c>
      <c r="C12" s="11">
        <f>IFERROR(IF('入力シート'!$A12="","",'入力シート'!C12),"")</f>
        <v/>
      </c>
      <c r="D12" s="11">
        <f>IFERROR(IF('入力シート'!$A12="","",'入力シート'!D12),"")</f>
        <v/>
      </c>
      <c r="E12" s="3">
        <f>IFERROR(IF('入力シート'!$A12="","",'入力シート'!I12),"")</f>
        <v/>
      </c>
      <c r="F12" s="3">
        <f>IFERROR(IF('入力シート'!$A12="","",'入力シート'!N12),"")</f>
        <v/>
      </c>
      <c r="G12" s="3">
        <f>IFERROR(IF('入力シート'!$A12="","",'入力シート'!O12),"")</f>
        <v/>
      </c>
      <c r="H12" s="17">
        <f>IFERROR(IF('入力シート'!$A12="","",'入力シート'!P12),"")</f>
        <v/>
      </c>
      <c r="I12" s="11">
        <f>IFERROR(IF('入力シート'!$A12="","",'入力シート'!Q12),"")</f>
        <v/>
      </c>
      <c r="J12" s="11">
        <f>IFERROR(IF('入力シート'!$A12="","",'入力シート'!R12),"")</f>
        <v/>
      </c>
      <c r="K12" s="11">
        <f>IFERROR(IF('入力シート'!$A12="","",IF(H12&gt;='設定'!$B$4,"OK",IF(H12&gt;='設定'!$B$5,"注意","要改善"))),"")</f>
        <v/>
      </c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 ht="26.75" customHeight="1">
      <c r="A13" s="11">
        <f>IFERROR(IF('入力シート'!$A13="","",'入力シート'!A13),"")</f>
        <v/>
      </c>
      <c r="B13" s="11">
        <f>IFERROR(IF('入力シート'!$A13="","",'入力シート'!B13),"")</f>
        <v/>
      </c>
      <c r="C13" s="11">
        <f>IFERROR(IF('入力シート'!$A13="","",'入力シート'!C13),"")</f>
        <v/>
      </c>
      <c r="D13" s="11">
        <f>IFERROR(IF('入力シート'!$A13="","",'入力シート'!D13),"")</f>
        <v/>
      </c>
      <c r="E13" s="3">
        <f>IFERROR(IF('入力シート'!$A13="","",'入力シート'!I13),"")</f>
        <v/>
      </c>
      <c r="F13" s="3">
        <f>IFERROR(IF('入力シート'!$A13="","",'入力シート'!N13),"")</f>
        <v/>
      </c>
      <c r="G13" s="3">
        <f>IFERROR(IF('入力シート'!$A13="","",'入力シート'!O13),"")</f>
        <v/>
      </c>
      <c r="H13" s="17">
        <f>IFERROR(IF('入力シート'!$A13="","",'入力シート'!P13),"")</f>
        <v/>
      </c>
      <c r="I13" s="11">
        <f>IFERROR(IF('入力シート'!$A13="","",'入力シート'!Q13),"")</f>
        <v/>
      </c>
      <c r="J13" s="11">
        <f>IFERROR(IF('入力シート'!$A13="","",'入力シート'!R13),"")</f>
        <v/>
      </c>
      <c r="K13" s="11">
        <f>IFERROR(IF('入力シート'!$A13="","",IF(H13&gt;='設定'!$B$4,"OK",IF(H13&gt;='設定'!$B$5,"注意","要改善"))),"")</f>
        <v/>
      </c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</row>
    <row r="14" ht="26.75" customHeight="1">
      <c r="A14" s="11">
        <f>IFERROR(IF('入力シート'!$A14="","",'入力シート'!A14),"")</f>
        <v/>
      </c>
      <c r="B14" s="11">
        <f>IFERROR(IF('入力シート'!$A14="","",'入力シート'!B14),"")</f>
        <v/>
      </c>
      <c r="C14" s="11">
        <f>IFERROR(IF('入力シート'!$A14="","",'入力シート'!C14),"")</f>
        <v/>
      </c>
      <c r="D14" s="11">
        <f>IFERROR(IF('入力シート'!$A14="","",'入力シート'!D14),"")</f>
        <v/>
      </c>
      <c r="E14" s="3">
        <f>IFERROR(IF('入力シート'!$A14="","",'入力シート'!I14),"")</f>
        <v/>
      </c>
      <c r="F14" s="3">
        <f>IFERROR(IF('入力シート'!$A14="","",'入力シート'!N14),"")</f>
        <v/>
      </c>
      <c r="G14" s="3">
        <f>IFERROR(IF('入力シート'!$A14="","",'入力シート'!O14),"")</f>
        <v/>
      </c>
      <c r="H14" s="17">
        <f>IFERROR(IF('入力シート'!$A14="","",'入力シート'!P14),"")</f>
        <v/>
      </c>
      <c r="I14" s="11">
        <f>IFERROR(IF('入力シート'!$A14="","",'入力シート'!Q14),"")</f>
        <v/>
      </c>
      <c r="J14" s="11">
        <f>IFERROR(IF('入力シート'!$A14="","",'入力シート'!R14),"")</f>
        <v/>
      </c>
      <c r="K14" s="11">
        <f>IFERROR(IF('入力シート'!$A14="","",IF(H14&gt;='設定'!$B$4,"OK",IF(H14&gt;='設定'!$B$5,"注意","要改善"))),"")</f>
        <v/>
      </c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 ht="26.75" customHeight="1">
      <c r="A15" s="11">
        <f>IFERROR(IF('入力シート'!$A15="","",'入力シート'!A15),"")</f>
        <v/>
      </c>
      <c r="B15" s="11">
        <f>IFERROR(IF('入力シート'!$A15="","",'入力シート'!B15),"")</f>
        <v/>
      </c>
      <c r="C15" s="11">
        <f>IFERROR(IF('入力シート'!$A15="","",'入力シート'!C15),"")</f>
        <v/>
      </c>
      <c r="D15" s="11">
        <f>IFERROR(IF('入力シート'!$A15="","",'入力シート'!D15),"")</f>
        <v/>
      </c>
      <c r="E15" s="3">
        <f>IFERROR(IF('入力シート'!$A15="","",'入力シート'!I15),"")</f>
        <v/>
      </c>
      <c r="F15" s="3">
        <f>IFERROR(IF('入力シート'!$A15="","",'入力シート'!N15),"")</f>
        <v/>
      </c>
      <c r="G15" s="3">
        <f>IFERROR(IF('入力シート'!$A15="","",'入力シート'!O15),"")</f>
        <v/>
      </c>
      <c r="H15" s="17">
        <f>IFERROR(IF('入力シート'!$A15="","",'入力シート'!P15),"")</f>
        <v/>
      </c>
      <c r="I15" s="11">
        <f>IFERROR(IF('入力シート'!$A15="","",'入力シート'!Q15),"")</f>
        <v/>
      </c>
      <c r="J15" s="11">
        <f>IFERROR(IF('入力シート'!$A15="","",'入力シート'!R15),"")</f>
        <v/>
      </c>
      <c r="K15" s="11">
        <f>IFERROR(IF('入力シート'!$A15="","",IF(H15&gt;='設定'!$B$4,"OK",IF(H15&gt;='設定'!$B$5,"注意","要改善"))),"")</f>
        <v/>
      </c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</row>
    <row r="16" ht="26.75" customHeight="1">
      <c r="A16" s="11">
        <f>IFERROR(IF('入力シート'!$A16="","",'入力シート'!A16),"")</f>
        <v/>
      </c>
      <c r="B16" s="11">
        <f>IFERROR(IF('入力シート'!$A16="","",'入力シート'!B16),"")</f>
        <v/>
      </c>
      <c r="C16" s="11">
        <f>IFERROR(IF('入力シート'!$A16="","",'入力シート'!C16),"")</f>
        <v/>
      </c>
      <c r="D16" s="11">
        <f>IFERROR(IF('入力シート'!$A16="","",'入力シート'!D16),"")</f>
        <v/>
      </c>
      <c r="E16" s="3">
        <f>IFERROR(IF('入力シート'!$A16="","",'入力シート'!I16),"")</f>
        <v/>
      </c>
      <c r="F16" s="3">
        <f>IFERROR(IF('入力シート'!$A16="","",'入力シート'!N16),"")</f>
        <v/>
      </c>
      <c r="G16" s="3">
        <f>IFERROR(IF('入力シート'!$A16="","",'入力シート'!O16),"")</f>
        <v/>
      </c>
      <c r="H16" s="17">
        <f>IFERROR(IF('入力シート'!$A16="","",'入力シート'!P16),"")</f>
        <v/>
      </c>
      <c r="I16" s="11">
        <f>IFERROR(IF('入力シート'!$A16="","",'入力シート'!Q16),"")</f>
        <v/>
      </c>
      <c r="J16" s="11">
        <f>IFERROR(IF('入力シート'!$A16="","",'入力シート'!R16),"")</f>
        <v/>
      </c>
      <c r="K16" s="11">
        <f>IFERROR(IF('入力シート'!$A16="","",IF(H16&gt;='設定'!$B$4,"OK",IF(H16&gt;='設定'!$B$5,"注意","要改善"))),"")</f>
        <v/>
      </c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 ht="26.75" customHeight="1">
      <c r="A17" s="11">
        <f>IFERROR(IF('入力シート'!$A17="","",'入力シート'!A17),"")</f>
        <v/>
      </c>
      <c r="B17" s="11">
        <f>IFERROR(IF('入力シート'!$A17="","",'入力シート'!B17),"")</f>
        <v/>
      </c>
      <c r="C17" s="11">
        <f>IFERROR(IF('入力シート'!$A17="","",'入力シート'!C17),"")</f>
        <v/>
      </c>
      <c r="D17" s="11">
        <f>IFERROR(IF('入力シート'!$A17="","",'入力シート'!D17),"")</f>
        <v/>
      </c>
      <c r="E17" s="3">
        <f>IFERROR(IF('入力シート'!$A17="","",'入力シート'!I17),"")</f>
        <v/>
      </c>
      <c r="F17" s="3">
        <f>IFERROR(IF('入力シート'!$A17="","",'入力シート'!N17),"")</f>
        <v/>
      </c>
      <c r="G17" s="3">
        <f>IFERROR(IF('入力シート'!$A17="","",'入力シート'!O17),"")</f>
        <v/>
      </c>
      <c r="H17" s="17">
        <f>IFERROR(IF('入力シート'!$A17="","",'入力シート'!P17),"")</f>
        <v/>
      </c>
      <c r="I17" s="11">
        <f>IFERROR(IF('入力シート'!$A17="","",'入力シート'!Q17),"")</f>
        <v/>
      </c>
      <c r="J17" s="11">
        <f>IFERROR(IF('入力シート'!$A17="","",'入力シート'!R17),"")</f>
        <v/>
      </c>
      <c r="K17" s="11">
        <f>IFERROR(IF('入力シート'!$A17="","",IF(H17&gt;='設定'!$B$4,"OK",IF(H17&gt;='設定'!$B$5,"注意","要改善"))),"")</f>
        <v/>
      </c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 ht="26.75" customHeight="1">
      <c r="A18" s="11">
        <f>IFERROR(IF('入力シート'!$A18="","",'入力シート'!A18),"")</f>
        <v/>
      </c>
      <c r="B18" s="11">
        <f>IFERROR(IF('入力シート'!$A18="","",'入力シート'!B18),"")</f>
        <v/>
      </c>
      <c r="C18" s="11">
        <f>IFERROR(IF('入力シート'!$A18="","",'入力シート'!C18),"")</f>
        <v/>
      </c>
      <c r="D18" s="11">
        <f>IFERROR(IF('入力シート'!$A18="","",'入力シート'!D18),"")</f>
        <v/>
      </c>
      <c r="E18" s="3">
        <f>IFERROR(IF('入力シート'!$A18="","",'入力シート'!I18),"")</f>
        <v/>
      </c>
      <c r="F18" s="3">
        <f>IFERROR(IF('入力シート'!$A18="","",'入力シート'!N18),"")</f>
        <v/>
      </c>
      <c r="G18" s="3">
        <f>IFERROR(IF('入力シート'!$A18="","",'入力シート'!O18),"")</f>
        <v/>
      </c>
      <c r="H18" s="17">
        <f>IFERROR(IF('入力シート'!$A18="","",'入力シート'!P18),"")</f>
        <v/>
      </c>
      <c r="I18" s="11">
        <f>IFERROR(IF('入力シート'!$A18="","",'入力シート'!Q18),"")</f>
        <v/>
      </c>
      <c r="J18" s="11">
        <f>IFERROR(IF('入力シート'!$A18="","",'入力シート'!R18),"")</f>
        <v/>
      </c>
      <c r="K18" s="11">
        <f>IFERROR(IF('入力シート'!$A18="","",IF(H18&gt;='設定'!$B$4,"OK",IF(H18&gt;='設定'!$B$5,"注意","要改善"))),"")</f>
        <v/>
      </c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 ht="26.75" customHeight="1">
      <c r="A19" s="11">
        <f>IFERROR(IF('入力シート'!$A19="","",'入力シート'!A19),"")</f>
        <v/>
      </c>
      <c r="B19" s="11">
        <f>IFERROR(IF('入力シート'!$A19="","",'入力シート'!B19),"")</f>
        <v/>
      </c>
      <c r="C19" s="11">
        <f>IFERROR(IF('入力シート'!$A19="","",'入力シート'!C19),"")</f>
        <v/>
      </c>
      <c r="D19" s="11">
        <f>IFERROR(IF('入力シート'!$A19="","",'入力シート'!D19),"")</f>
        <v/>
      </c>
      <c r="E19" s="3">
        <f>IFERROR(IF('入力シート'!$A19="","",'入力シート'!I19),"")</f>
        <v/>
      </c>
      <c r="F19" s="3">
        <f>IFERROR(IF('入力シート'!$A19="","",'入力シート'!N19),"")</f>
        <v/>
      </c>
      <c r="G19" s="3">
        <f>IFERROR(IF('入力シート'!$A19="","",'入力シート'!O19),"")</f>
        <v/>
      </c>
      <c r="H19" s="17">
        <f>IFERROR(IF('入力シート'!$A19="","",'入力シート'!P19),"")</f>
        <v/>
      </c>
      <c r="I19" s="11">
        <f>IFERROR(IF('入力シート'!$A19="","",'入力シート'!Q19),"")</f>
        <v/>
      </c>
      <c r="J19" s="11">
        <f>IFERROR(IF('入力シート'!$A19="","",'入力シート'!R19),"")</f>
        <v/>
      </c>
      <c r="K19" s="11">
        <f>IFERROR(IF('入力シート'!$A19="","",IF(H19&gt;='設定'!$B$4,"OK",IF(H19&gt;='設定'!$B$5,"注意","要改善"))),"")</f>
        <v/>
      </c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</row>
    <row r="20" ht="26.75" customHeight="1">
      <c r="A20" s="11">
        <f>IFERROR(IF('入力シート'!$A20="","",'入力シート'!A20),"")</f>
        <v/>
      </c>
      <c r="B20" s="11">
        <f>IFERROR(IF('入力シート'!$A20="","",'入力シート'!B20),"")</f>
        <v/>
      </c>
      <c r="C20" s="11">
        <f>IFERROR(IF('入力シート'!$A20="","",'入力シート'!C20),"")</f>
        <v/>
      </c>
      <c r="D20" s="11">
        <f>IFERROR(IF('入力シート'!$A20="","",'入力シート'!D20),"")</f>
        <v/>
      </c>
      <c r="E20" s="3">
        <f>IFERROR(IF('入力シート'!$A20="","",'入力シート'!I20),"")</f>
        <v/>
      </c>
      <c r="F20" s="3">
        <f>IFERROR(IF('入力シート'!$A20="","",'入力シート'!N20),"")</f>
        <v/>
      </c>
      <c r="G20" s="3">
        <f>IFERROR(IF('入力シート'!$A20="","",'入力シート'!O20),"")</f>
        <v/>
      </c>
      <c r="H20" s="17">
        <f>IFERROR(IF('入力シート'!$A20="","",'入力シート'!P20),"")</f>
        <v/>
      </c>
      <c r="I20" s="11">
        <f>IFERROR(IF('入力シート'!$A20="","",'入力シート'!Q20),"")</f>
        <v/>
      </c>
      <c r="J20" s="11">
        <f>IFERROR(IF('入力シート'!$A20="","",'入力シート'!R20),"")</f>
        <v/>
      </c>
      <c r="K20" s="11">
        <f>IFERROR(IF('入力シート'!$A20="","",IF(H20&gt;='設定'!$B$4,"OK",IF(H20&gt;='設定'!$B$5,"注意","要改善"))),"")</f>
        <v/>
      </c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26.75" customHeight="1">
      <c r="A21" s="11">
        <f>IFERROR(IF('入力シート'!$A21="","",'入力シート'!A21),"")</f>
        <v/>
      </c>
      <c r="B21" s="11">
        <f>IFERROR(IF('入力シート'!$A21="","",'入力シート'!B21),"")</f>
        <v/>
      </c>
      <c r="C21" s="11">
        <f>IFERROR(IF('入力シート'!$A21="","",'入力シート'!C21),"")</f>
        <v/>
      </c>
      <c r="D21" s="11">
        <f>IFERROR(IF('入力シート'!$A21="","",'入力シート'!D21),"")</f>
        <v/>
      </c>
      <c r="E21" s="3">
        <f>IFERROR(IF('入力シート'!$A21="","",'入力シート'!I21),"")</f>
        <v/>
      </c>
      <c r="F21" s="3">
        <f>IFERROR(IF('入力シート'!$A21="","",'入力シート'!N21),"")</f>
        <v/>
      </c>
      <c r="G21" s="3">
        <f>IFERROR(IF('入力シート'!$A21="","",'入力シート'!O21),"")</f>
        <v/>
      </c>
      <c r="H21" s="17">
        <f>IFERROR(IF('入力シート'!$A21="","",'入力シート'!P21),"")</f>
        <v/>
      </c>
      <c r="I21" s="11">
        <f>IFERROR(IF('入力シート'!$A21="","",'入力シート'!Q21),"")</f>
        <v/>
      </c>
      <c r="J21" s="11">
        <f>IFERROR(IF('入力シート'!$A21="","",'入力シート'!R21),"")</f>
        <v/>
      </c>
      <c r="K21" s="11">
        <f>IFERROR(IF('入力シート'!$A21="","",IF(H21&gt;='設定'!$B$4,"OK",IF(H21&gt;='設定'!$B$5,"注意","要改善"))),"")</f>
        <v/>
      </c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ht="26.75" customHeight="1">
      <c r="A22" s="11">
        <f>IFERROR(IF('入力シート'!$A22="","",'入力シート'!A22),"")</f>
        <v/>
      </c>
      <c r="B22" s="11">
        <f>IFERROR(IF('入力シート'!$A22="","",'入力シート'!B22),"")</f>
        <v/>
      </c>
      <c r="C22" s="11">
        <f>IFERROR(IF('入力シート'!$A22="","",'入力シート'!C22),"")</f>
        <v/>
      </c>
      <c r="D22" s="11">
        <f>IFERROR(IF('入力シート'!$A22="","",'入力シート'!D22),"")</f>
        <v/>
      </c>
      <c r="E22" s="3">
        <f>IFERROR(IF('入力シート'!$A22="","",'入力シート'!I22),"")</f>
        <v/>
      </c>
      <c r="F22" s="3">
        <f>IFERROR(IF('入力シート'!$A22="","",'入力シート'!N22),"")</f>
        <v/>
      </c>
      <c r="G22" s="3">
        <f>IFERROR(IF('入力シート'!$A22="","",'入力シート'!O22),"")</f>
        <v/>
      </c>
      <c r="H22" s="17">
        <f>IFERROR(IF('入力シート'!$A22="","",'入力シート'!P22),"")</f>
        <v/>
      </c>
      <c r="I22" s="11">
        <f>IFERROR(IF('入力シート'!$A22="","",'入力シート'!Q22),"")</f>
        <v/>
      </c>
      <c r="J22" s="11">
        <f>IFERROR(IF('入力シート'!$A22="","",'入力シート'!R22),"")</f>
        <v/>
      </c>
      <c r="K22" s="11">
        <f>IFERROR(IF('入力シート'!$A22="","",IF(H22&gt;='設定'!$B$4,"OK",IF(H22&gt;='設定'!$B$5,"注意","要改善"))),"")</f>
        <v/>
      </c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 ht="26.75" customHeight="1">
      <c r="A23" s="11">
        <f>IFERROR(IF('入力シート'!$A23="","",'入力シート'!A23),"")</f>
        <v/>
      </c>
      <c r="B23" s="11">
        <f>IFERROR(IF('入力シート'!$A23="","",'入力シート'!B23),"")</f>
        <v/>
      </c>
      <c r="C23" s="11">
        <f>IFERROR(IF('入力シート'!$A23="","",'入力シート'!C23),"")</f>
        <v/>
      </c>
      <c r="D23" s="11">
        <f>IFERROR(IF('入力シート'!$A23="","",'入力シート'!D23),"")</f>
        <v/>
      </c>
      <c r="E23" s="3">
        <f>IFERROR(IF('入力シート'!$A23="","",'入力シート'!I23),"")</f>
        <v/>
      </c>
      <c r="F23" s="3">
        <f>IFERROR(IF('入力シート'!$A23="","",'入力シート'!N23),"")</f>
        <v/>
      </c>
      <c r="G23" s="3">
        <f>IFERROR(IF('入力シート'!$A23="","",'入力シート'!O23),"")</f>
        <v/>
      </c>
      <c r="H23" s="17">
        <f>IFERROR(IF('入力シート'!$A23="","",'入力シート'!P23),"")</f>
        <v/>
      </c>
      <c r="I23" s="11">
        <f>IFERROR(IF('入力シート'!$A23="","",'入力シート'!Q23),"")</f>
        <v/>
      </c>
      <c r="J23" s="11">
        <f>IFERROR(IF('入力シート'!$A23="","",'入力シート'!R23),"")</f>
        <v/>
      </c>
      <c r="K23" s="11">
        <f>IFERROR(IF('入力シート'!$A23="","",IF(H23&gt;='設定'!$B$4,"OK",IF(H23&gt;='設定'!$B$5,"注意","要改善"))),"")</f>
        <v/>
      </c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</row>
    <row r="24" ht="26.75" customHeight="1">
      <c r="A24" s="11">
        <f>IFERROR(IF('入力シート'!$A24="","",'入力シート'!A24),"")</f>
        <v/>
      </c>
      <c r="B24" s="11">
        <f>IFERROR(IF('入力シート'!$A24="","",'入力シート'!B24),"")</f>
        <v/>
      </c>
      <c r="C24" s="11">
        <f>IFERROR(IF('入力シート'!$A24="","",'入力シート'!C24),"")</f>
        <v/>
      </c>
      <c r="D24" s="11">
        <f>IFERROR(IF('入力シート'!$A24="","",'入力シート'!D24),"")</f>
        <v/>
      </c>
      <c r="E24" s="3">
        <f>IFERROR(IF('入力シート'!$A24="","",'入力シート'!I24),"")</f>
        <v/>
      </c>
      <c r="F24" s="3">
        <f>IFERROR(IF('入力シート'!$A24="","",'入力シート'!N24),"")</f>
        <v/>
      </c>
      <c r="G24" s="3">
        <f>IFERROR(IF('入力シート'!$A24="","",'入力シート'!O24),"")</f>
        <v/>
      </c>
      <c r="H24" s="17">
        <f>IFERROR(IF('入力シート'!$A24="","",'入力シート'!P24),"")</f>
        <v/>
      </c>
      <c r="I24" s="11">
        <f>IFERROR(IF('入力シート'!$A24="","",'入力シート'!Q24),"")</f>
        <v/>
      </c>
      <c r="J24" s="11">
        <f>IFERROR(IF('入力シート'!$A24="","",'入力シート'!R24),"")</f>
        <v/>
      </c>
      <c r="K24" s="11">
        <f>IFERROR(IF('入力シート'!$A24="","",IF(H24&gt;='設定'!$B$4,"OK",IF(H24&gt;='設定'!$B$5,"注意","要改善"))),"")</f>
        <v/>
      </c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 ht="26.75" customHeight="1">
      <c r="A25" s="11">
        <f>IFERROR(IF('入力シート'!$A25="","",'入力シート'!A25),"")</f>
        <v/>
      </c>
      <c r="B25" s="11">
        <f>IFERROR(IF('入力シート'!$A25="","",'入力シート'!B25),"")</f>
        <v/>
      </c>
      <c r="C25" s="11">
        <f>IFERROR(IF('入力シート'!$A25="","",'入力シート'!C25),"")</f>
        <v/>
      </c>
      <c r="D25" s="11">
        <f>IFERROR(IF('入力シート'!$A25="","",'入力シート'!D25),"")</f>
        <v/>
      </c>
      <c r="E25" s="3">
        <f>IFERROR(IF('入力シート'!$A25="","",'入力シート'!I25),"")</f>
        <v/>
      </c>
      <c r="F25" s="3">
        <f>IFERROR(IF('入力シート'!$A25="","",'入力シート'!N25),"")</f>
        <v/>
      </c>
      <c r="G25" s="3">
        <f>IFERROR(IF('入力シート'!$A25="","",'入力シート'!O25),"")</f>
        <v/>
      </c>
      <c r="H25" s="17">
        <f>IFERROR(IF('入力シート'!$A25="","",'入力シート'!P25),"")</f>
        <v/>
      </c>
      <c r="I25" s="11">
        <f>IFERROR(IF('入力シート'!$A25="","",'入力シート'!Q25),"")</f>
        <v/>
      </c>
      <c r="J25" s="11">
        <f>IFERROR(IF('入力シート'!$A25="","",'入力シート'!R25),"")</f>
        <v/>
      </c>
      <c r="K25" s="11">
        <f>IFERROR(IF('入力シート'!$A25="","",IF(H25&gt;='設定'!$B$4,"OK",IF(H25&gt;='設定'!$B$5,"注意","要改善"))),"")</f>
        <v/>
      </c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 ht="26.75" customHeight="1">
      <c r="A26" s="11">
        <f>IFERROR(IF('入力シート'!$A26="","",'入力シート'!A26),"")</f>
        <v/>
      </c>
      <c r="B26" s="11">
        <f>IFERROR(IF('入力シート'!$A26="","",'入力シート'!B26),"")</f>
        <v/>
      </c>
      <c r="C26" s="11">
        <f>IFERROR(IF('入力シート'!$A26="","",'入力シート'!C26),"")</f>
        <v/>
      </c>
      <c r="D26" s="11">
        <f>IFERROR(IF('入力シート'!$A26="","",'入力シート'!D26),"")</f>
        <v/>
      </c>
      <c r="E26" s="3">
        <f>IFERROR(IF('入力シート'!$A26="","",'入力シート'!I26),"")</f>
        <v/>
      </c>
      <c r="F26" s="3">
        <f>IFERROR(IF('入力シート'!$A26="","",'入力シート'!N26),"")</f>
        <v/>
      </c>
      <c r="G26" s="3">
        <f>IFERROR(IF('入力シート'!$A26="","",'入力シート'!O26),"")</f>
        <v/>
      </c>
      <c r="H26" s="17">
        <f>IFERROR(IF('入力シート'!$A26="","",'入力シート'!P26),"")</f>
        <v/>
      </c>
      <c r="I26" s="11">
        <f>IFERROR(IF('入力シート'!$A26="","",'入力シート'!Q26),"")</f>
        <v/>
      </c>
      <c r="J26" s="11">
        <f>IFERROR(IF('入力シート'!$A26="","",'入力シート'!R26),"")</f>
        <v/>
      </c>
      <c r="K26" s="11">
        <f>IFERROR(IF('入力シート'!$A26="","",IF(H26&gt;='設定'!$B$4,"OK",IF(H26&gt;='設定'!$B$5,"注意","要改善"))),"")</f>
        <v/>
      </c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 ht="26.75" customHeight="1">
      <c r="A27" s="11">
        <f>IFERROR(IF('入力シート'!$A27="","",'入力シート'!A27),"")</f>
        <v/>
      </c>
      <c r="B27" s="11">
        <f>IFERROR(IF('入力シート'!$A27="","",'入力シート'!B27),"")</f>
        <v/>
      </c>
      <c r="C27" s="11">
        <f>IFERROR(IF('入力シート'!$A27="","",'入力シート'!C27),"")</f>
        <v/>
      </c>
      <c r="D27" s="11">
        <f>IFERROR(IF('入力シート'!$A27="","",'入力シート'!D27),"")</f>
        <v/>
      </c>
      <c r="E27" s="3">
        <f>IFERROR(IF('入力シート'!$A27="","",'入力シート'!I27),"")</f>
        <v/>
      </c>
      <c r="F27" s="3">
        <f>IFERROR(IF('入力シート'!$A27="","",'入力シート'!N27),"")</f>
        <v/>
      </c>
      <c r="G27" s="3">
        <f>IFERROR(IF('入力シート'!$A27="","",'入力シート'!O27),"")</f>
        <v/>
      </c>
      <c r="H27" s="17">
        <f>IFERROR(IF('入力シート'!$A27="","",'入力シート'!P27),"")</f>
        <v/>
      </c>
      <c r="I27" s="11">
        <f>IFERROR(IF('入力シート'!$A27="","",'入力シート'!Q27),"")</f>
        <v/>
      </c>
      <c r="J27" s="11">
        <f>IFERROR(IF('入力シート'!$A27="","",'入力シート'!R27),"")</f>
        <v/>
      </c>
      <c r="K27" s="11">
        <f>IFERROR(IF('入力シート'!$A27="","",IF(H27&gt;='設定'!$B$4,"OK",IF(H27&gt;='設定'!$B$5,"注意","要改善"))),"")</f>
        <v/>
      </c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</row>
    <row r="28" ht="26.75" customHeight="1">
      <c r="A28" s="11">
        <f>IFERROR(IF('入力シート'!$A28="","",'入力シート'!A28),"")</f>
        <v/>
      </c>
      <c r="B28" s="11">
        <f>IFERROR(IF('入力シート'!$A28="","",'入力シート'!B28),"")</f>
        <v/>
      </c>
      <c r="C28" s="11">
        <f>IFERROR(IF('入力シート'!$A28="","",'入力シート'!C28),"")</f>
        <v/>
      </c>
      <c r="D28" s="11">
        <f>IFERROR(IF('入力シート'!$A28="","",'入力シート'!D28),"")</f>
        <v/>
      </c>
      <c r="E28" s="3">
        <f>IFERROR(IF('入力シート'!$A28="","",'入力シート'!I28),"")</f>
        <v/>
      </c>
      <c r="F28" s="3">
        <f>IFERROR(IF('入力シート'!$A28="","",'入力シート'!N28),"")</f>
        <v/>
      </c>
      <c r="G28" s="3">
        <f>IFERROR(IF('入力シート'!$A28="","",'入力シート'!O28),"")</f>
        <v/>
      </c>
      <c r="H28" s="17">
        <f>IFERROR(IF('入力シート'!$A28="","",'入力シート'!P28),"")</f>
        <v/>
      </c>
      <c r="I28" s="11">
        <f>IFERROR(IF('入力シート'!$A28="","",'入力シート'!Q28),"")</f>
        <v/>
      </c>
      <c r="J28" s="11">
        <f>IFERROR(IF('入力シート'!$A28="","",'入力シート'!R28),"")</f>
        <v/>
      </c>
      <c r="K28" s="11">
        <f>IFERROR(IF('入力シート'!$A28="","",IF(H28&gt;='設定'!$B$4,"OK",IF(H28&gt;='設定'!$B$5,"注意","要改善"))),"")</f>
        <v/>
      </c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 ht="26.75" customHeight="1">
      <c r="A29" s="11">
        <f>IFERROR(IF('入力シート'!$A29="","",'入力シート'!A29),"")</f>
        <v/>
      </c>
      <c r="B29" s="11">
        <f>IFERROR(IF('入力シート'!$A29="","",'入力シート'!B29),"")</f>
        <v/>
      </c>
      <c r="C29" s="11">
        <f>IFERROR(IF('入力シート'!$A29="","",'入力シート'!C29),"")</f>
        <v/>
      </c>
      <c r="D29" s="11">
        <f>IFERROR(IF('入力シート'!$A29="","",'入力シート'!D29),"")</f>
        <v/>
      </c>
      <c r="E29" s="3">
        <f>IFERROR(IF('入力シート'!$A29="","",'入力シート'!I29),"")</f>
        <v/>
      </c>
      <c r="F29" s="3">
        <f>IFERROR(IF('入力シート'!$A29="","",'入力シート'!N29),"")</f>
        <v/>
      </c>
      <c r="G29" s="3">
        <f>IFERROR(IF('入力シート'!$A29="","",'入力シート'!O29),"")</f>
        <v/>
      </c>
      <c r="H29" s="17">
        <f>IFERROR(IF('入力シート'!$A29="","",'入力シート'!P29),"")</f>
        <v/>
      </c>
      <c r="I29" s="11">
        <f>IFERROR(IF('入力シート'!$A29="","",'入力シート'!Q29),"")</f>
        <v/>
      </c>
      <c r="J29" s="11">
        <f>IFERROR(IF('入力シート'!$A29="","",'入力シート'!R29),"")</f>
        <v/>
      </c>
      <c r="K29" s="11">
        <f>IFERROR(IF('入力シート'!$A29="","",IF(H29&gt;='設定'!$B$4,"OK",IF(H29&gt;='設定'!$B$5,"注意","要改善"))),"")</f>
        <v/>
      </c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</row>
    <row r="30" ht="26.75" customHeight="1">
      <c r="A30" s="11">
        <f>IFERROR(IF('入力シート'!$A30="","",'入力シート'!A30),"")</f>
        <v/>
      </c>
      <c r="B30" s="11">
        <f>IFERROR(IF('入力シート'!$A30="","",'入力シート'!B30),"")</f>
        <v/>
      </c>
      <c r="C30" s="11">
        <f>IFERROR(IF('入力シート'!$A30="","",'入力シート'!C30),"")</f>
        <v/>
      </c>
      <c r="D30" s="11">
        <f>IFERROR(IF('入力シート'!$A30="","",'入力シート'!D30),"")</f>
        <v/>
      </c>
      <c r="E30" s="3">
        <f>IFERROR(IF('入力シート'!$A30="","",'入力シート'!I30),"")</f>
        <v/>
      </c>
      <c r="F30" s="3">
        <f>IFERROR(IF('入力シート'!$A30="","",'入力シート'!N30),"")</f>
        <v/>
      </c>
      <c r="G30" s="3">
        <f>IFERROR(IF('入力シート'!$A30="","",'入力シート'!O30),"")</f>
        <v/>
      </c>
      <c r="H30" s="17">
        <f>IFERROR(IF('入力シート'!$A30="","",'入力シート'!P30),"")</f>
        <v/>
      </c>
      <c r="I30" s="11">
        <f>IFERROR(IF('入力シート'!$A30="","",'入力シート'!Q30),"")</f>
        <v/>
      </c>
      <c r="J30" s="11">
        <f>IFERROR(IF('入力シート'!$A30="","",'入力シート'!R30),"")</f>
        <v/>
      </c>
      <c r="K30" s="11">
        <f>IFERROR(IF('入力シート'!$A30="","",IF(H30&gt;='設定'!$B$4,"OK",IF(H30&gt;='設定'!$B$5,"注意","要改善"))),"")</f>
        <v/>
      </c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</row>
    <row r="31" ht="26.75" customHeight="1">
      <c r="A31" s="11">
        <f>IFERROR(IF('入力シート'!$A31="","",'入力シート'!A31),"")</f>
        <v/>
      </c>
      <c r="B31" s="11">
        <f>IFERROR(IF('入力シート'!$A31="","",'入力シート'!B31),"")</f>
        <v/>
      </c>
      <c r="C31" s="11">
        <f>IFERROR(IF('入力シート'!$A31="","",'入力シート'!C31),"")</f>
        <v/>
      </c>
      <c r="D31" s="11">
        <f>IFERROR(IF('入力シート'!$A31="","",'入力シート'!D31),"")</f>
        <v/>
      </c>
      <c r="E31" s="3">
        <f>IFERROR(IF('入力シート'!$A31="","",'入力シート'!I31),"")</f>
        <v/>
      </c>
      <c r="F31" s="3">
        <f>IFERROR(IF('入力シート'!$A31="","",'入力シート'!N31),"")</f>
        <v/>
      </c>
      <c r="G31" s="3">
        <f>IFERROR(IF('入力シート'!$A31="","",'入力シート'!O31),"")</f>
        <v/>
      </c>
      <c r="H31" s="17">
        <f>IFERROR(IF('入力シート'!$A31="","",'入力シート'!P31),"")</f>
        <v/>
      </c>
      <c r="I31" s="11">
        <f>IFERROR(IF('入力シート'!$A31="","",'入力シート'!Q31),"")</f>
        <v/>
      </c>
      <c r="J31" s="11">
        <f>IFERROR(IF('入力シート'!$A31="","",'入力シート'!R31),"")</f>
        <v/>
      </c>
      <c r="K31" s="11">
        <f>IFERROR(IF('入力シート'!$A31="","",IF(H31&gt;='設定'!$B$4,"OK",IF(H31&gt;='設定'!$B$5,"注意","要改善"))),"")</f>
        <v/>
      </c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</row>
    <row r="32" ht="26.75" customHeight="1">
      <c r="A32" s="11">
        <f>IFERROR(IF('入力シート'!$A32="","",'入力シート'!A32),"")</f>
        <v/>
      </c>
      <c r="B32" s="11">
        <f>IFERROR(IF('入力シート'!$A32="","",'入力シート'!B32),"")</f>
        <v/>
      </c>
      <c r="C32" s="11">
        <f>IFERROR(IF('入力シート'!$A32="","",'入力シート'!C32),"")</f>
        <v/>
      </c>
      <c r="D32" s="11">
        <f>IFERROR(IF('入力シート'!$A32="","",'入力シート'!D32),"")</f>
        <v/>
      </c>
      <c r="E32" s="3">
        <f>IFERROR(IF('入力シート'!$A32="","",'入力シート'!I32),"")</f>
        <v/>
      </c>
      <c r="F32" s="3">
        <f>IFERROR(IF('入力シート'!$A32="","",'入力シート'!N32),"")</f>
        <v/>
      </c>
      <c r="G32" s="3">
        <f>IFERROR(IF('入力シート'!$A32="","",'入力シート'!O32),"")</f>
        <v/>
      </c>
      <c r="H32" s="17">
        <f>IFERROR(IF('入力シート'!$A32="","",'入力シート'!P32),"")</f>
        <v/>
      </c>
      <c r="I32" s="11">
        <f>IFERROR(IF('入力シート'!$A32="","",'入力シート'!Q32),"")</f>
        <v/>
      </c>
      <c r="J32" s="11">
        <f>IFERROR(IF('入力シート'!$A32="","",'入力シート'!R32),"")</f>
        <v/>
      </c>
      <c r="K32" s="11">
        <f>IFERROR(IF('入力シート'!$A32="","",IF(H32&gt;='設定'!$B$4,"OK",IF(H32&gt;='設定'!$B$5,"注意","要改善"))),"")</f>
        <v/>
      </c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</row>
    <row r="33" ht="26.75" customHeight="1">
      <c r="A33" s="11">
        <f>IFERROR(IF('入力シート'!$A33="","",'入力シート'!A33),"")</f>
        <v/>
      </c>
      <c r="B33" s="11">
        <f>IFERROR(IF('入力シート'!$A33="","",'入力シート'!B33),"")</f>
        <v/>
      </c>
      <c r="C33" s="11">
        <f>IFERROR(IF('入力シート'!$A33="","",'入力シート'!C33),"")</f>
        <v/>
      </c>
      <c r="D33" s="11">
        <f>IFERROR(IF('入力シート'!$A33="","",'入力シート'!D33),"")</f>
        <v/>
      </c>
      <c r="E33" s="3">
        <f>IFERROR(IF('入力シート'!$A33="","",'入力シート'!I33),"")</f>
        <v/>
      </c>
      <c r="F33" s="3">
        <f>IFERROR(IF('入力シート'!$A33="","",'入力シート'!N33),"")</f>
        <v/>
      </c>
      <c r="G33" s="3">
        <f>IFERROR(IF('入力シート'!$A33="","",'入力シート'!O33),"")</f>
        <v/>
      </c>
      <c r="H33" s="17">
        <f>IFERROR(IF('入力シート'!$A33="","",'入力シート'!P33),"")</f>
        <v/>
      </c>
      <c r="I33" s="11">
        <f>IFERROR(IF('入力シート'!$A33="","",'入力シート'!Q33),"")</f>
        <v/>
      </c>
      <c r="J33" s="11">
        <f>IFERROR(IF('入力シート'!$A33="","",'入力シート'!R33),"")</f>
        <v/>
      </c>
      <c r="K33" s="11">
        <f>IFERROR(IF('入力シート'!$A33="","",IF(H33&gt;='設定'!$B$4,"OK",IF(H33&gt;='設定'!$B$5,"注意","要改善"))),"")</f>
        <v/>
      </c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</row>
    <row r="34" ht="26.75" customHeight="1">
      <c r="A34" s="11">
        <f>IFERROR(IF('入力シート'!$A34="","",'入力シート'!A34),"")</f>
        <v/>
      </c>
      <c r="B34" s="11">
        <f>IFERROR(IF('入力シート'!$A34="","",'入力シート'!B34),"")</f>
        <v/>
      </c>
      <c r="C34" s="11">
        <f>IFERROR(IF('入力シート'!$A34="","",'入力シート'!C34),"")</f>
        <v/>
      </c>
      <c r="D34" s="11">
        <f>IFERROR(IF('入力シート'!$A34="","",'入力シート'!D34),"")</f>
        <v/>
      </c>
      <c r="E34" s="3">
        <f>IFERROR(IF('入力シート'!$A34="","",'入力シート'!I34),"")</f>
        <v/>
      </c>
      <c r="F34" s="3">
        <f>IFERROR(IF('入力シート'!$A34="","",'入力シート'!N34),"")</f>
        <v/>
      </c>
      <c r="G34" s="3">
        <f>IFERROR(IF('入力シート'!$A34="","",'入力シート'!O34),"")</f>
        <v/>
      </c>
      <c r="H34" s="17">
        <f>IFERROR(IF('入力シート'!$A34="","",'入力シート'!P34),"")</f>
        <v/>
      </c>
      <c r="I34" s="11">
        <f>IFERROR(IF('入力シート'!$A34="","",'入力シート'!Q34),"")</f>
        <v/>
      </c>
      <c r="J34" s="11">
        <f>IFERROR(IF('入力シート'!$A34="","",'入力シート'!R34),"")</f>
        <v/>
      </c>
      <c r="K34" s="11">
        <f>IFERROR(IF('入力シート'!$A34="","",IF(H34&gt;='設定'!$B$4,"OK",IF(H34&gt;='設定'!$B$5,"注意","要改善"))),"")</f>
        <v/>
      </c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ht="26.75" customHeight="1">
      <c r="A35" s="11">
        <f>IFERROR(IF('入力シート'!$A35="","",'入力シート'!A35),"")</f>
        <v/>
      </c>
      <c r="B35" s="11">
        <f>IFERROR(IF('入力シート'!$A35="","",'入力シート'!B35),"")</f>
        <v/>
      </c>
      <c r="C35" s="11">
        <f>IFERROR(IF('入力シート'!$A35="","",'入力シート'!C35),"")</f>
        <v/>
      </c>
      <c r="D35" s="11">
        <f>IFERROR(IF('入力シート'!$A35="","",'入力シート'!D35),"")</f>
        <v/>
      </c>
      <c r="E35" s="3">
        <f>IFERROR(IF('入力シート'!$A35="","",'入力シート'!I35),"")</f>
        <v/>
      </c>
      <c r="F35" s="3">
        <f>IFERROR(IF('入力シート'!$A35="","",'入力シート'!N35),"")</f>
        <v/>
      </c>
      <c r="G35" s="3">
        <f>IFERROR(IF('入力シート'!$A35="","",'入力シート'!O35),"")</f>
        <v/>
      </c>
      <c r="H35" s="17">
        <f>IFERROR(IF('入力シート'!$A35="","",'入力シート'!P35),"")</f>
        <v/>
      </c>
      <c r="I35" s="11">
        <f>IFERROR(IF('入力シート'!$A35="","",'入力シート'!Q35),"")</f>
        <v/>
      </c>
      <c r="J35" s="11">
        <f>IFERROR(IF('入力シート'!$A35="","",'入力シート'!R35),"")</f>
        <v/>
      </c>
      <c r="K35" s="11">
        <f>IFERROR(IF('入力シート'!$A35="","",IF(H35&gt;='設定'!$B$4,"OK",IF(H35&gt;='設定'!$B$5,"注意","要改善"))),"")</f>
        <v/>
      </c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</row>
    <row r="36" ht="26.75" customHeight="1">
      <c r="A36" s="11">
        <f>IFERROR(IF('入力シート'!$A36="","",'入力シート'!A36),"")</f>
        <v/>
      </c>
      <c r="B36" s="11">
        <f>IFERROR(IF('入力シート'!$A36="","",'入力シート'!B36),"")</f>
        <v/>
      </c>
      <c r="C36" s="11">
        <f>IFERROR(IF('入力シート'!$A36="","",'入力シート'!C36),"")</f>
        <v/>
      </c>
      <c r="D36" s="11">
        <f>IFERROR(IF('入力シート'!$A36="","",'入力シート'!D36),"")</f>
        <v/>
      </c>
      <c r="E36" s="3">
        <f>IFERROR(IF('入力シート'!$A36="","",'入力シート'!I36),"")</f>
        <v/>
      </c>
      <c r="F36" s="3">
        <f>IFERROR(IF('入力シート'!$A36="","",'入力シート'!N36),"")</f>
        <v/>
      </c>
      <c r="G36" s="3">
        <f>IFERROR(IF('入力シート'!$A36="","",'入力シート'!O36),"")</f>
        <v/>
      </c>
      <c r="H36" s="17">
        <f>IFERROR(IF('入力シート'!$A36="","",'入力シート'!P36),"")</f>
        <v/>
      </c>
      <c r="I36" s="11">
        <f>IFERROR(IF('入力シート'!$A36="","",'入力シート'!Q36),"")</f>
        <v/>
      </c>
      <c r="J36" s="11">
        <f>IFERROR(IF('入力シート'!$A36="","",'入力シート'!R36),"")</f>
        <v/>
      </c>
      <c r="K36" s="11">
        <f>IFERROR(IF('入力シート'!$A36="","",IF(H36&gt;='設定'!$B$4,"OK",IF(H36&gt;='設定'!$B$5,"注意","要改善"))),"")</f>
        <v/>
      </c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</row>
    <row r="37" ht="26.75" customHeight="1">
      <c r="A37" s="11">
        <f>IFERROR(IF('入力シート'!$A37="","",'入力シート'!A37),"")</f>
        <v/>
      </c>
      <c r="B37" s="11">
        <f>IFERROR(IF('入力シート'!$A37="","",'入力シート'!B37),"")</f>
        <v/>
      </c>
      <c r="C37" s="11">
        <f>IFERROR(IF('入力シート'!$A37="","",'入力シート'!C37),"")</f>
        <v/>
      </c>
      <c r="D37" s="11">
        <f>IFERROR(IF('入力シート'!$A37="","",'入力シート'!D37),"")</f>
        <v/>
      </c>
      <c r="E37" s="3">
        <f>IFERROR(IF('入力シート'!$A37="","",'入力シート'!I37),"")</f>
        <v/>
      </c>
      <c r="F37" s="3">
        <f>IFERROR(IF('入力シート'!$A37="","",'入力シート'!N37),"")</f>
        <v/>
      </c>
      <c r="G37" s="3">
        <f>IFERROR(IF('入力シート'!$A37="","",'入力シート'!O37),"")</f>
        <v/>
      </c>
      <c r="H37" s="17">
        <f>IFERROR(IF('入力シート'!$A37="","",'入力シート'!P37),"")</f>
        <v/>
      </c>
      <c r="I37" s="11">
        <f>IFERROR(IF('入力シート'!$A37="","",'入力シート'!Q37),"")</f>
        <v/>
      </c>
      <c r="J37" s="11">
        <f>IFERROR(IF('入力シート'!$A37="","",'入力シート'!R37),"")</f>
        <v/>
      </c>
      <c r="K37" s="11">
        <f>IFERROR(IF('入力シート'!$A37="","",IF(H37&gt;='設定'!$B$4,"OK",IF(H37&gt;='設定'!$B$5,"注意","要改善"))),"")</f>
        <v/>
      </c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</row>
    <row r="38" ht="26.75" customHeight="1">
      <c r="A38" s="11">
        <f>IFERROR(IF('入力シート'!$A38="","",'入力シート'!A38),"")</f>
        <v/>
      </c>
      <c r="B38" s="11">
        <f>IFERROR(IF('入力シート'!$A38="","",'入力シート'!B38),"")</f>
        <v/>
      </c>
      <c r="C38" s="11">
        <f>IFERROR(IF('入力シート'!$A38="","",'入力シート'!C38),"")</f>
        <v/>
      </c>
      <c r="D38" s="11">
        <f>IFERROR(IF('入力シート'!$A38="","",'入力シート'!D38),"")</f>
        <v/>
      </c>
      <c r="E38" s="3">
        <f>IFERROR(IF('入力シート'!$A38="","",'入力シート'!I38),"")</f>
        <v/>
      </c>
      <c r="F38" s="3">
        <f>IFERROR(IF('入力シート'!$A38="","",'入力シート'!N38),"")</f>
        <v/>
      </c>
      <c r="G38" s="3">
        <f>IFERROR(IF('入力シート'!$A38="","",'入力シート'!O38),"")</f>
        <v/>
      </c>
      <c r="H38" s="17">
        <f>IFERROR(IF('入力シート'!$A38="","",'入力シート'!P38),"")</f>
        <v/>
      </c>
      <c r="I38" s="11">
        <f>IFERROR(IF('入力シート'!$A38="","",'入力シート'!Q38),"")</f>
        <v/>
      </c>
      <c r="J38" s="11">
        <f>IFERROR(IF('入力シート'!$A38="","",'入力シート'!R38),"")</f>
        <v/>
      </c>
      <c r="K38" s="11">
        <f>IFERROR(IF('入力シート'!$A38="","",IF(H38&gt;='設定'!$B$4,"OK",IF(H38&gt;='設定'!$B$5,"注意","要改善"))),"")</f>
        <v/>
      </c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</row>
    <row r="39" ht="26.75" customHeight="1">
      <c r="A39" s="11">
        <f>IFERROR(IF('入力シート'!$A39="","",'入力シート'!A39),"")</f>
        <v/>
      </c>
      <c r="B39" s="11">
        <f>IFERROR(IF('入力シート'!$A39="","",'入力シート'!B39),"")</f>
        <v/>
      </c>
      <c r="C39" s="11">
        <f>IFERROR(IF('入力シート'!$A39="","",'入力シート'!C39),"")</f>
        <v/>
      </c>
      <c r="D39" s="11">
        <f>IFERROR(IF('入力シート'!$A39="","",'入力シート'!D39),"")</f>
        <v/>
      </c>
      <c r="E39" s="3">
        <f>IFERROR(IF('入力シート'!$A39="","",'入力シート'!I39),"")</f>
        <v/>
      </c>
      <c r="F39" s="3">
        <f>IFERROR(IF('入力シート'!$A39="","",'入力シート'!N39),"")</f>
        <v/>
      </c>
      <c r="G39" s="3">
        <f>IFERROR(IF('入力シート'!$A39="","",'入力シート'!O39),"")</f>
        <v/>
      </c>
      <c r="H39" s="17">
        <f>IFERROR(IF('入力シート'!$A39="","",'入力シート'!P39),"")</f>
        <v/>
      </c>
      <c r="I39" s="11">
        <f>IFERROR(IF('入力シート'!$A39="","",'入力シート'!Q39),"")</f>
        <v/>
      </c>
      <c r="J39" s="11">
        <f>IFERROR(IF('入力シート'!$A39="","",'入力シート'!R39),"")</f>
        <v/>
      </c>
      <c r="K39" s="11">
        <f>IFERROR(IF('入力シート'!$A39="","",IF(H39&gt;='設定'!$B$4,"OK",IF(H39&gt;='設定'!$B$5,"注意","要改善"))),"")</f>
        <v/>
      </c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</row>
    <row r="40" ht="26.75" customHeight="1">
      <c r="A40" s="11">
        <f>IFERROR(IF('入力シート'!$A40="","",'入力シート'!A40),"")</f>
        <v/>
      </c>
      <c r="B40" s="11">
        <f>IFERROR(IF('入力シート'!$A40="","",'入力シート'!B40),"")</f>
        <v/>
      </c>
      <c r="C40" s="11">
        <f>IFERROR(IF('入力シート'!$A40="","",'入力シート'!C40),"")</f>
        <v/>
      </c>
      <c r="D40" s="11">
        <f>IFERROR(IF('入力シート'!$A40="","",'入力シート'!D40),"")</f>
        <v/>
      </c>
      <c r="E40" s="3">
        <f>IFERROR(IF('入力シート'!$A40="","",'入力シート'!I40),"")</f>
        <v/>
      </c>
      <c r="F40" s="3">
        <f>IFERROR(IF('入力シート'!$A40="","",'入力シート'!N40),"")</f>
        <v/>
      </c>
      <c r="G40" s="3">
        <f>IFERROR(IF('入力シート'!$A40="","",'入力シート'!O40),"")</f>
        <v/>
      </c>
      <c r="H40" s="17">
        <f>IFERROR(IF('入力シート'!$A40="","",'入力シート'!P40),"")</f>
        <v/>
      </c>
      <c r="I40" s="11">
        <f>IFERROR(IF('入力シート'!$A40="","",'入力シート'!Q40),"")</f>
        <v/>
      </c>
      <c r="J40" s="11">
        <f>IFERROR(IF('入力シート'!$A40="","",'入力シート'!R40),"")</f>
        <v/>
      </c>
      <c r="K40" s="11">
        <f>IFERROR(IF('入力シート'!$A40="","",IF(H40&gt;='設定'!$B$4,"OK",IF(H40&gt;='設定'!$B$5,"注意","要改善"))),"")</f>
        <v/>
      </c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</row>
    <row r="41" ht="26.75" customHeight="1">
      <c r="A41" s="11">
        <f>IFERROR(IF('入力シート'!$A41="","",'入力シート'!A41),"")</f>
        <v/>
      </c>
      <c r="B41" s="11">
        <f>IFERROR(IF('入力シート'!$A41="","",'入力シート'!B41),"")</f>
        <v/>
      </c>
      <c r="C41" s="11">
        <f>IFERROR(IF('入力シート'!$A41="","",'入力シート'!C41),"")</f>
        <v/>
      </c>
      <c r="D41" s="11">
        <f>IFERROR(IF('入力シート'!$A41="","",'入力シート'!D41),"")</f>
        <v/>
      </c>
      <c r="E41" s="3">
        <f>IFERROR(IF('入力シート'!$A41="","",'入力シート'!I41),"")</f>
        <v/>
      </c>
      <c r="F41" s="3">
        <f>IFERROR(IF('入力シート'!$A41="","",'入力シート'!N41),"")</f>
        <v/>
      </c>
      <c r="G41" s="3">
        <f>IFERROR(IF('入力シート'!$A41="","",'入力シート'!O41),"")</f>
        <v/>
      </c>
      <c r="H41" s="17">
        <f>IFERROR(IF('入力シート'!$A41="","",'入力シート'!P41),"")</f>
        <v/>
      </c>
      <c r="I41" s="11">
        <f>IFERROR(IF('入力シート'!$A41="","",'入力シート'!Q41),"")</f>
        <v/>
      </c>
      <c r="J41" s="11">
        <f>IFERROR(IF('入力シート'!$A41="","",'入力シート'!R41),"")</f>
        <v/>
      </c>
      <c r="K41" s="11">
        <f>IFERROR(IF('入力シート'!$A41="","",IF(H41&gt;='設定'!$B$4,"OK",IF(H41&gt;='設定'!$B$5,"注意","要改善"))),"")</f>
        <v/>
      </c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</row>
    <row r="42" ht="26.75" customHeight="1">
      <c r="A42" s="11">
        <f>IFERROR(IF('入力シート'!$A42="","",'入力シート'!A42),"")</f>
        <v/>
      </c>
      <c r="B42" s="11">
        <f>IFERROR(IF('入力シート'!$A42="","",'入力シート'!B42),"")</f>
        <v/>
      </c>
      <c r="C42" s="11">
        <f>IFERROR(IF('入力シート'!$A42="","",'入力シート'!C42),"")</f>
        <v/>
      </c>
      <c r="D42" s="11">
        <f>IFERROR(IF('入力シート'!$A42="","",'入力シート'!D42),"")</f>
        <v/>
      </c>
      <c r="E42" s="3">
        <f>IFERROR(IF('入力シート'!$A42="","",'入力シート'!I42),"")</f>
        <v/>
      </c>
      <c r="F42" s="3">
        <f>IFERROR(IF('入力シート'!$A42="","",'入力シート'!N42),"")</f>
        <v/>
      </c>
      <c r="G42" s="3">
        <f>IFERROR(IF('入力シート'!$A42="","",'入力シート'!O42),"")</f>
        <v/>
      </c>
      <c r="H42" s="17">
        <f>IFERROR(IF('入力シート'!$A42="","",'入力シート'!P42),"")</f>
        <v/>
      </c>
      <c r="I42" s="11">
        <f>IFERROR(IF('入力シート'!$A42="","",'入力シート'!Q42),"")</f>
        <v/>
      </c>
      <c r="J42" s="11">
        <f>IFERROR(IF('入力シート'!$A42="","",'入力シート'!R42),"")</f>
        <v/>
      </c>
      <c r="K42" s="11">
        <f>IFERROR(IF('入力シート'!$A42="","",IF(H42&gt;='設定'!$B$4,"OK",IF(H42&gt;='設定'!$B$5,"注意","要改善"))),"")</f>
        <v/>
      </c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</row>
    <row r="43" ht="26.75" customHeight="1">
      <c r="A43" s="11">
        <f>IFERROR(IF('入力シート'!$A43="","",'入力シート'!A43),"")</f>
        <v/>
      </c>
      <c r="B43" s="11">
        <f>IFERROR(IF('入力シート'!$A43="","",'入力シート'!B43),"")</f>
        <v/>
      </c>
      <c r="C43" s="11">
        <f>IFERROR(IF('入力シート'!$A43="","",'入力シート'!C43),"")</f>
        <v/>
      </c>
      <c r="D43" s="11">
        <f>IFERROR(IF('入力シート'!$A43="","",'入力シート'!D43),"")</f>
        <v/>
      </c>
      <c r="E43" s="3">
        <f>IFERROR(IF('入力シート'!$A43="","",'入力シート'!I43),"")</f>
        <v/>
      </c>
      <c r="F43" s="3">
        <f>IFERROR(IF('入力シート'!$A43="","",'入力シート'!N43),"")</f>
        <v/>
      </c>
      <c r="G43" s="3">
        <f>IFERROR(IF('入力シート'!$A43="","",'入力シート'!O43),"")</f>
        <v/>
      </c>
      <c r="H43" s="17">
        <f>IFERROR(IF('入力シート'!$A43="","",'入力シート'!P43),"")</f>
        <v/>
      </c>
      <c r="I43" s="11">
        <f>IFERROR(IF('入力シート'!$A43="","",'入力シート'!Q43),"")</f>
        <v/>
      </c>
      <c r="J43" s="11">
        <f>IFERROR(IF('入力シート'!$A43="","",'入力シート'!R43),"")</f>
        <v/>
      </c>
      <c r="K43" s="11">
        <f>IFERROR(IF('入力シート'!$A43="","",IF(H43&gt;='設定'!$B$4,"OK",IF(H43&gt;='設定'!$B$5,"注意","要改善"))),"")</f>
        <v/>
      </c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</row>
    <row r="44" ht="26.75" customHeight="1">
      <c r="A44" s="11">
        <f>IFERROR(IF('入力シート'!$A44="","",'入力シート'!A44),"")</f>
        <v/>
      </c>
      <c r="B44" s="11">
        <f>IFERROR(IF('入力シート'!$A44="","",'入力シート'!B44),"")</f>
        <v/>
      </c>
      <c r="C44" s="11">
        <f>IFERROR(IF('入力シート'!$A44="","",'入力シート'!C44),"")</f>
        <v/>
      </c>
      <c r="D44" s="11">
        <f>IFERROR(IF('入力シート'!$A44="","",'入力シート'!D44),"")</f>
        <v/>
      </c>
      <c r="E44" s="3">
        <f>IFERROR(IF('入力シート'!$A44="","",'入力シート'!I44),"")</f>
        <v/>
      </c>
      <c r="F44" s="3">
        <f>IFERROR(IF('入力シート'!$A44="","",'入力シート'!N44),"")</f>
        <v/>
      </c>
      <c r="G44" s="3">
        <f>IFERROR(IF('入力シート'!$A44="","",'入力シート'!O44),"")</f>
        <v/>
      </c>
      <c r="H44" s="17">
        <f>IFERROR(IF('入力シート'!$A44="","",'入力シート'!P44),"")</f>
        <v/>
      </c>
      <c r="I44" s="11">
        <f>IFERROR(IF('入力シート'!$A44="","",'入力シート'!Q44),"")</f>
        <v/>
      </c>
      <c r="J44" s="11">
        <f>IFERROR(IF('入力シート'!$A44="","",'入力シート'!R44),"")</f>
        <v/>
      </c>
      <c r="K44" s="11">
        <f>IFERROR(IF('入力シート'!$A44="","",IF(H44&gt;='設定'!$B$4,"OK",IF(H44&gt;='設定'!$B$5,"注意","要改善"))),"")</f>
        <v/>
      </c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</row>
    <row r="45" ht="26.75" customHeight="1">
      <c r="A45" s="11">
        <f>IFERROR(IF('入力シート'!$A45="","",'入力シート'!A45),"")</f>
        <v/>
      </c>
      <c r="B45" s="11">
        <f>IFERROR(IF('入力シート'!$A45="","",'入力シート'!B45),"")</f>
        <v/>
      </c>
      <c r="C45" s="11">
        <f>IFERROR(IF('入力シート'!$A45="","",'入力シート'!C45),"")</f>
        <v/>
      </c>
      <c r="D45" s="11">
        <f>IFERROR(IF('入力シート'!$A45="","",'入力シート'!D45),"")</f>
        <v/>
      </c>
      <c r="E45" s="3">
        <f>IFERROR(IF('入力シート'!$A45="","",'入力シート'!I45),"")</f>
        <v/>
      </c>
      <c r="F45" s="3">
        <f>IFERROR(IF('入力シート'!$A45="","",'入力シート'!N45),"")</f>
        <v/>
      </c>
      <c r="G45" s="3">
        <f>IFERROR(IF('入力シート'!$A45="","",'入力シート'!O45),"")</f>
        <v/>
      </c>
      <c r="H45" s="17">
        <f>IFERROR(IF('入力シート'!$A45="","",'入力シート'!P45),"")</f>
        <v/>
      </c>
      <c r="I45" s="11">
        <f>IFERROR(IF('入力シート'!$A45="","",'入力シート'!Q45),"")</f>
        <v/>
      </c>
      <c r="J45" s="11">
        <f>IFERROR(IF('入力シート'!$A45="","",'入力シート'!R45),"")</f>
        <v/>
      </c>
      <c r="K45" s="11">
        <f>IFERROR(IF('入力シート'!$A45="","",IF(H45&gt;='設定'!$B$4,"OK",IF(H45&gt;='設定'!$B$5,"注意","要改善"))),"")</f>
        <v/>
      </c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</row>
    <row r="46" ht="26.75" customHeight="1">
      <c r="A46" s="11">
        <f>IFERROR(IF('入力シート'!$A46="","",'入力シート'!A46),"")</f>
        <v/>
      </c>
      <c r="B46" s="11">
        <f>IFERROR(IF('入力シート'!$A46="","",'入力シート'!B46),"")</f>
        <v/>
      </c>
      <c r="C46" s="11">
        <f>IFERROR(IF('入力シート'!$A46="","",'入力シート'!C46),"")</f>
        <v/>
      </c>
      <c r="D46" s="11">
        <f>IFERROR(IF('入力シート'!$A46="","",'入力シート'!D46),"")</f>
        <v/>
      </c>
      <c r="E46" s="3">
        <f>IFERROR(IF('入力シート'!$A46="","",'入力シート'!I46),"")</f>
        <v/>
      </c>
      <c r="F46" s="3">
        <f>IFERROR(IF('入力シート'!$A46="","",'入力シート'!N46),"")</f>
        <v/>
      </c>
      <c r="G46" s="3">
        <f>IFERROR(IF('入力シート'!$A46="","",'入力シート'!O46),"")</f>
        <v/>
      </c>
      <c r="H46" s="17">
        <f>IFERROR(IF('入力シート'!$A46="","",'入力シート'!P46),"")</f>
        <v/>
      </c>
      <c r="I46" s="11">
        <f>IFERROR(IF('入力シート'!$A46="","",'入力シート'!Q46),"")</f>
        <v/>
      </c>
      <c r="J46" s="11">
        <f>IFERROR(IF('入力シート'!$A46="","",'入力シート'!R46),"")</f>
        <v/>
      </c>
      <c r="K46" s="11">
        <f>IFERROR(IF('入力シート'!$A46="","",IF(H46&gt;='設定'!$B$4,"OK",IF(H46&gt;='設定'!$B$5,"注意","要改善"))),"")</f>
        <v/>
      </c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</row>
    <row r="47" ht="26.75" customHeight="1">
      <c r="A47" s="11">
        <f>IFERROR(IF('入力シート'!$A47="","",'入力シート'!A47),"")</f>
        <v/>
      </c>
      <c r="B47" s="11">
        <f>IFERROR(IF('入力シート'!$A47="","",'入力シート'!B47),"")</f>
        <v/>
      </c>
      <c r="C47" s="11">
        <f>IFERROR(IF('入力シート'!$A47="","",'入力シート'!C47),"")</f>
        <v/>
      </c>
      <c r="D47" s="11">
        <f>IFERROR(IF('入力シート'!$A47="","",'入力シート'!D47),"")</f>
        <v/>
      </c>
      <c r="E47" s="3">
        <f>IFERROR(IF('入力シート'!$A47="","",'入力シート'!I47),"")</f>
        <v/>
      </c>
      <c r="F47" s="3">
        <f>IFERROR(IF('入力シート'!$A47="","",'入力シート'!N47),"")</f>
        <v/>
      </c>
      <c r="G47" s="3">
        <f>IFERROR(IF('入力シート'!$A47="","",'入力シート'!O47),"")</f>
        <v/>
      </c>
      <c r="H47" s="17">
        <f>IFERROR(IF('入力シート'!$A47="","",'入力シート'!P47),"")</f>
        <v/>
      </c>
      <c r="I47" s="11">
        <f>IFERROR(IF('入力シート'!$A47="","",'入力シート'!Q47),"")</f>
        <v/>
      </c>
      <c r="J47" s="11">
        <f>IFERROR(IF('入力シート'!$A47="","",'入力シート'!R47),"")</f>
        <v/>
      </c>
      <c r="K47" s="11">
        <f>IFERROR(IF('入力シート'!$A47="","",IF(H47&gt;='設定'!$B$4,"OK",IF(H47&gt;='設定'!$B$5,"注意","要改善"))),"")</f>
        <v/>
      </c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</row>
    <row r="48" ht="26.75" customHeight="1">
      <c r="A48" s="11">
        <f>IFERROR(IF('入力シート'!$A48="","",'入力シート'!A48),"")</f>
        <v/>
      </c>
      <c r="B48" s="11">
        <f>IFERROR(IF('入力シート'!$A48="","",'入力シート'!B48),"")</f>
        <v/>
      </c>
      <c r="C48" s="11">
        <f>IFERROR(IF('入力シート'!$A48="","",'入力シート'!C48),"")</f>
        <v/>
      </c>
      <c r="D48" s="11">
        <f>IFERROR(IF('入力シート'!$A48="","",'入力シート'!D48),"")</f>
        <v/>
      </c>
      <c r="E48" s="3">
        <f>IFERROR(IF('入力シート'!$A48="","",'入力シート'!I48),"")</f>
        <v/>
      </c>
      <c r="F48" s="3">
        <f>IFERROR(IF('入力シート'!$A48="","",'入力シート'!N48),"")</f>
        <v/>
      </c>
      <c r="G48" s="3">
        <f>IFERROR(IF('入力シート'!$A48="","",'入力シート'!O48),"")</f>
        <v/>
      </c>
      <c r="H48" s="17">
        <f>IFERROR(IF('入力シート'!$A48="","",'入力シート'!P48),"")</f>
        <v/>
      </c>
      <c r="I48" s="11">
        <f>IFERROR(IF('入力シート'!$A48="","",'入力シート'!Q48),"")</f>
        <v/>
      </c>
      <c r="J48" s="11">
        <f>IFERROR(IF('入力シート'!$A48="","",'入力シート'!R48),"")</f>
        <v/>
      </c>
      <c r="K48" s="11">
        <f>IFERROR(IF('入力シート'!$A48="","",IF(H48&gt;='設定'!$B$4,"OK",IF(H48&gt;='設定'!$B$5,"注意","要改善"))),"")</f>
        <v/>
      </c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</row>
    <row r="49" ht="26.75" customHeight="1">
      <c r="A49" s="11">
        <f>IFERROR(IF('入力シート'!$A49="","",'入力シート'!A49),"")</f>
        <v/>
      </c>
      <c r="B49" s="11">
        <f>IFERROR(IF('入力シート'!$A49="","",'入力シート'!B49),"")</f>
        <v/>
      </c>
      <c r="C49" s="11">
        <f>IFERROR(IF('入力シート'!$A49="","",'入力シート'!C49),"")</f>
        <v/>
      </c>
      <c r="D49" s="11">
        <f>IFERROR(IF('入力シート'!$A49="","",'入力シート'!D49),"")</f>
        <v/>
      </c>
      <c r="E49" s="3">
        <f>IFERROR(IF('入力シート'!$A49="","",'入力シート'!I49),"")</f>
        <v/>
      </c>
      <c r="F49" s="3">
        <f>IFERROR(IF('入力シート'!$A49="","",'入力シート'!N49),"")</f>
        <v/>
      </c>
      <c r="G49" s="3">
        <f>IFERROR(IF('入力シート'!$A49="","",'入力シート'!O49),"")</f>
        <v/>
      </c>
      <c r="H49" s="17">
        <f>IFERROR(IF('入力シート'!$A49="","",'入力シート'!P49),"")</f>
        <v/>
      </c>
      <c r="I49" s="11">
        <f>IFERROR(IF('入力シート'!$A49="","",'入力シート'!Q49),"")</f>
        <v/>
      </c>
      <c r="J49" s="11">
        <f>IFERROR(IF('入力シート'!$A49="","",'入力シート'!R49),"")</f>
        <v/>
      </c>
      <c r="K49" s="11">
        <f>IFERROR(IF('入力シート'!$A49="","",IF(H49&gt;='設定'!$B$4,"OK",IF(H49&gt;='設定'!$B$5,"注意","要改善"))),"")</f>
        <v/>
      </c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</row>
    <row r="50" ht="26.75" customHeight="1">
      <c r="A50" s="11">
        <f>IFERROR(IF('入力シート'!$A50="","",'入力シート'!A50),"")</f>
        <v/>
      </c>
      <c r="B50" s="11">
        <f>IFERROR(IF('入力シート'!$A50="","",'入力シート'!B50),"")</f>
        <v/>
      </c>
      <c r="C50" s="11">
        <f>IFERROR(IF('入力シート'!$A50="","",'入力シート'!C50),"")</f>
        <v/>
      </c>
      <c r="D50" s="11">
        <f>IFERROR(IF('入力シート'!$A50="","",'入力シート'!D50),"")</f>
        <v/>
      </c>
      <c r="E50" s="3">
        <f>IFERROR(IF('入力シート'!$A50="","",'入力シート'!I50),"")</f>
        <v/>
      </c>
      <c r="F50" s="3">
        <f>IFERROR(IF('入力シート'!$A50="","",'入力シート'!N50),"")</f>
        <v/>
      </c>
      <c r="G50" s="3">
        <f>IFERROR(IF('入力シート'!$A50="","",'入力シート'!O50),"")</f>
        <v/>
      </c>
      <c r="H50" s="17">
        <f>IFERROR(IF('入力シート'!$A50="","",'入力シート'!P50),"")</f>
        <v/>
      </c>
      <c r="I50" s="11">
        <f>IFERROR(IF('入力シート'!$A50="","",'入力シート'!Q50),"")</f>
        <v/>
      </c>
      <c r="J50" s="11">
        <f>IFERROR(IF('入力シート'!$A50="","",'入力シート'!R50),"")</f>
        <v/>
      </c>
      <c r="K50" s="11">
        <f>IFERROR(IF('入力シート'!$A50="","",IF(H50&gt;='設定'!$B$4,"OK",IF(H50&gt;='設定'!$B$5,"注意","要改善"))),"")</f>
        <v/>
      </c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</row>
    <row r="51" ht="26.75" customHeight="1">
      <c r="A51" s="11">
        <f>IFERROR(IF('入力シート'!$A51="","",'入力シート'!A51),"")</f>
        <v/>
      </c>
      <c r="B51" s="11">
        <f>IFERROR(IF('入力シート'!$A51="","",'入力シート'!B51),"")</f>
        <v/>
      </c>
      <c r="C51" s="11">
        <f>IFERROR(IF('入力シート'!$A51="","",'入力シート'!C51),"")</f>
        <v/>
      </c>
      <c r="D51" s="11">
        <f>IFERROR(IF('入力シート'!$A51="","",'入力シート'!D51),"")</f>
        <v/>
      </c>
      <c r="E51" s="3">
        <f>IFERROR(IF('入力シート'!$A51="","",'入力シート'!I51),"")</f>
        <v/>
      </c>
      <c r="F51" s="3">
        <f>IFERROR(IF('入力シート'!$A51="","",'入力シート'!N51),"")</f>
        <v/>
      </c>
      <c r="G51" s="3">
        <f>IFERROR(IF('入力シート'!$A51="","",'入力シート'!O51),"")</f>
        <v/>
      </c>
      <c r="H51" s="17">
        <f>IFERROR(IF('入力シート'!$A51="","",'入力シート'!P51),"")</f>
        <v/>
      </c>
      <c r="I51" s="11">
        <f>IFERROR(IF('入力シート'!$A51="","",'入力シート'!Q51),"")</f>
        <v/>
      </c>
      <c r="J51" s="11">
        <f>IFERROR(IF('入力シート'!$A51="","",'入力シート'!R51),"")</f>
        <v/>
      </c>
      <c r="K51" s="11">
        <f>IFERROR(IF('入力シート'!$A51="","",IF(H51&gt;='設定'!$B$4,"OK",IF(H51&gt;='設定'!$B$5,"注意","要改善"))),"")</f>
        <v/>
      </c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</row>
    <row r="52" ht="26.75" customHeight="1">
      <c r="A52" s="11">
        <f>IFERROR(IF('入力シート'!$A52="","",'入力シート'!A52),"")</f>
        <v/>
      </c>
      <c r="B52" s="11">
        <f>IFERROR(IF('入力シート'!$A52="","",'入力シート'!B52),"")</f>
        <v/>
      </c>
      <c r="C52" s="11">
        <f>IFERROR(IF('入力シート'!$A52="","",'入力シート'!C52),"")</f>
        <v/>
      </c>
      <c r="D52" s="11">
        <f>IFERROR(IF('入力シート'!$A52="","",'入力シート'!D52),"")</f>
        <v/>
      </c>
      <c r="E52" s="3">
        <f>IFERROR(IF('入力シート'!$A52="","",'入力シート'!I52),"")</f>
        <v/>
      </c>
      <c r="F52" s="3">
        <f>IFERROR(IF('入力シート'!$A52="","",'入力シート'!N52),"")</f>
        <v/>
      </c>
      <c r="G52" s="3">
        <f>IFERROR(IF('入力シート'!$A52="","",'入力シート'!O52),"")</f>
        <v/>
      </c>
      <c r="H52" s="17">
        <f>IFERROR(IF('入力シート'!$A52="","",'入力シート'!P52),"")</f>
        <v/>
      </c>
      <c r="I52" s="11">
        <f>IFERROR(IF('入力シート'!$A52="","",'入力シート'!Q52),"")</f>
        <v/>
      </c>
      <c r="J52" s="11">
        <f>IFERROR(IF('入力シート'!$A52="","",'入力シート'!R52),"")</f>
        <v/>
      </c>
      <c r="K52" s="11">
        <f>IFERROR(IF('入力シート'!$A52="","",IF(H52&gt;='設定'!$B$4,"OK",IF(H52&gt;='設定'!$B$5,"注意","要改善"))),"")</f>
        <v/>
      </c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</row>
    <row r="53" ht="26.75" customHeight="1">
      <c r="A53" s="11">
        <f>IFERROR(IF('入力シート'!$A53="","",'入力シート'!A53),"")</f>
        <v/>
      </c>
      <c r="B53" s="11">
        <f>IFERROR(IF('入力シート'!$A53="","",'入力シート'!B53),"")</f>
        <v/>
      </c>
      <c r="C53" s="11">
        <f>IFERROR(IF('入力シート'!$A53="","",'入力シート'!C53),"")</f>
        <v/>
      </c>
      <c r="D53" s="11">
        <f>IFERROR(IF('入力シート'!$A53="","",'入力シート'!D53),"")</f>
        <v/>
      </c>
      <c r="E53" s="3">
        <f>IFERROR(IF('入力シート'!$A53="","",'入力シート'!I53),"")</f>
        <v/>
      </c>
      <c r="F53" s="3">
        <f>IFERROR(IF('入力シート'!$A53="","",'入力シート'!N53),"")</f>
        <v/>
      </c>
      <c r="G53" s="3">
        <f>IFERROR(IF('入力シート'!$A53="","",'入力シート'!O53),"")</f>
        <v/>
      </c>
      <c r="H53" s="17">
        <f>IFERROR(IF('入力シート'!$A53="","",'入力シート'!P53),"")</f>
        <v/>
      </c>
      <c r="I53" s="11">
        <f>IFERROR(IF('入力シート'!$A53="","",'入力シート'!Q53),"")</f>
        <v/>
      </c>
      <c r="J53" s="11">
        <f>IFERROR(IF('入力シート'!$A53="","",'入力シート'!R53),"")</f>
        <v/>
      </c>
      <c r="K53" s="11">
        <f>IFERROR(IF('入力シート'!$A53="","",IF(H53&gt;='設定'!$B$4,"OK",IF(H53&gt;='設定'!$B$5,"注意","要改善"))),"")</f>
        <v/>
      </c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</row>
    <row r="54" ht="26.75" customHeight="1">
      <c r="A54" s="11">
        <f>IFERROR(IF('入力シート'!$A54="","",'入力シート'!A54),"")</f>
        <v/>
      </c>
      <c r="B54" s="11">
        <f>IFERROR(IF('入力シート'!$A54="","",'入力シート'!B54),"")</f>
        <v/>
      </c>
      <c r="C54" s="11">
        <f>IFERROR(IF('入力シート'!$A54="","",'入力シート'!C54),"")</f>
        <v/>
      </c>
      <c r="D54" s="11">
        <f>IFERROR(IF('入力シート'!$A54="","",'入力シート'!D54),"")</f>
        <v/>
      </c>
      <c r="E54" s="3">
        <f>IFERROR(IF('入力シート'!$A54="","",'入力シート'!I54),"")</f>
        <v/>
      </c>
      <c r="F54" s="3">
        <f>IFERROR(IF('入力シート'!$A54="","",'入力シート'!N54),"")</f>
        <v/>
      </c>
      <c r="G54" s="3">
        <f>IFERROR(IF('入力シート'!$A54="","",'入力シート'!O54),"")</f>
        <v/>
      </c>
      <c r="H54" s="17">
        <f>IFERROR(IF('入力シート'!$A54="","",'入力シート'!P54),"")</f>
        <v/>
      </c>
      <c r="I54" s="11">
        <f>IFERROR(IF('入力シート'!$A54="","",'入力シート'!Q54),"")</f>
        <v/>
      </c>
      <c r="J54" s="11">
        <f>IFERROR(IF('入力シート'!$A54="","",'入力シート'!R54),"")</f>
        <v/>
      </c>
      <c r="K54" s="11">
        <f>IFERROR(IF('入力シート'!$A54="","",IF(H54&gt;='設定'!$B$4,"OK",IF(H54&gt;='設定'!$B$5,"注意","要改善"))),"")</f>
        <v/>
      </c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</row>
    <row r="55" ht="26.75" customHeight="1">
      <c r="A55" s="11">
        <f>IFERROR(IF('入力シート'!$A55="","",'入力シート'!A55),"")</f>
        <v/>
      </c>
      <c r="B55" s="11">
        <f>IFERROR(IF('入力シート'!$A55="","",'入力シート'!B55),"")</f>
        <v/>
      </c>
      <c r="C55" s="11">
        <f>IFERROR(IF('入力シート'!$A55="","",'入力シート'!C55),"")</f>
        <v/>
      </c>
      <c r="D55" s="11">
        <f>IFERROR(IF('入力シート'!$A55="","",'入力シート'!D55),"")</f>
        <v/>
      </c>
      <c r="E55" s="3">
        <f>IFERROR(IF('入力シート'!$A55="","",'入力シート'!I55),"")</f>
        <v/>
      </c>
      <c r="F55" s="3">
        <f>IFERROR(IF('入力シート'!$A55="","",'入力シート'!N55),"")</f>
        <v/>
      </c>
      <c r="G55" s="3">
        <f>IFERROR(IF('入力シート'!$A55="","",'入力シート'!O55),"")</f>
        <v/>
      </c>
      <c r="H55" s="17">
        <f>IFERROR(IF('入力シート'!$A55="","",'入力シート'!P55),"")</f>
        <v/>
      </c>
      <c r="I55" s="11">
        <f>IFERROR(IF('入力シート'!$A55="","",'入力シート'!Q55),"")</f>
        <v/>
      </c>
      <c r="J55" s="11">
        <f>IFERROR(IF('入力シート'!$A55="","",'入力シート'!R55),"")</f>
        <v/>
      </c>
      <c r="K55" s="11">
        <f>IFERROR(IF('入力シート'!$A55="","",IF(H55&gt;='設定'!$B$4,"OK",IF(H55&gt;='設定'!$B$5,"注意","要改善"))),"")</f>
        <v/>
      </c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</row>
    <row r="56" ht="26.75" customHeight="1">
      <c r="A56" s="11">
        <f>IFERROR(IF('入力シート'!$A56="","",'入力シート'!A56),"")</f>
        <v/>
      </c>
      <c r="B56" s="11">
        <f>IFERROR(IF('入力シート'!$A56="","",'入力シート'!B56),"")</f>
        <v/>
      </c>
      <c r="C56" s="11">
        <f>IFERROR(IF('入力シート'!$A56="","",'入力シート'!C56),"")</f>
        <v/>
      </c>
      <c r="D56" s="11">
        <f>IFERROR(IF('入力シート'!$A56="","",'入力シート'!D56),"")</f>
        <v/>
      </c>
      <c r="E56" s="3">
        <f>IFERROR(IF('入力シート'!$A56="","",'入力シート'!I56),"")</f>
        <v/>
      </c>
      <c r="F56" s="3">
        <f>IFERROR(IF('入力シート'!$A56="","",'入力シート'!N56),"")</f>
        <v/>
      </c>
      <c r="G56" s="3">
        <f>IFERROR(IF('入力シート'!$A56="","",'入力シート'!O56),"")</f>
        <v/>
      </c>
      <c r="H56" s="17">
        <f>IFERROR(IF('入力シート'!$A56="","",'入力シート'!P56),"")</f>
        <v/>
      </c>
      <c r="I56" s="11">
        <f>IFERROR(IF('入力シート'!$A56="","",'入力シート'!Q56),"")</f>
        <v/>
      </c>
      <c r="J56" s="11">
        <f>IFERROR(IF('入力シート'!$A56="","",'入力シート'!R56),"")</f>
        <v/>
      </c>
      <c r="K56" s="11">
        <f>IFERROR(IF('入力シート'!$A56="","",IF(H56&gt;='設定'!$B$4,"OK",IF(H56&gt;='設定'!$B$5,"注意","要改善"))),"")</f>
        <v/>
      </c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</row>
    <row r="57" ht="26.75" customHeight="1">
      <c r="A57" s="11">
        <f>IFERROR(IF('入力シート'!$A57="","",'入力シート'!A57),"")</f>
        <v/>
      </c>
      <c r="B57" s="11">
        <f>IFERROR(IF('入力シート'!$A57="","",'入力シート'!B57),"")</f>
        <v/>
      </c>
      <c r="C57" s="11">
        <f>IFERROR(IF('入力シート'!$A57="","",'入力シート'!C57),"")</f>
        <v/>
      </c>
      <c r="D57" s="11">
        <f>IFERROR(IF('入力シート'!$A57="","",'入力シート'!D57),"")</f>
        <v/>
      </c>
      <c r="E57" s="3">
        <f>IFERROR(IF('入力シート'!$A57="","",'入力シート'!I57),"")</f>
        <v/>
      </c>
      <c r="F57" s="3">
        <f>IFERROR(IF('入力シート'!$A57="","",'入力シート'!N57),"")</f>
        <v/>
      </c>
      <c r="G57" s="3">
        <f>IFERROR(IF('入力シート'!$A57="","",'入力シート'!O57),"")</f>
        <v/>
      </c>
      <c r="H57" s="17">
        <f>IFERROR(IF('入力シート'!$A57="","",'入力シート'!P57),"")</f>
        <v/>
      </c>
      <c r="I57" s="11">
        <f>IFERROR(IF('入力シート'!$A57="","",'入力シート'!Q57),"")</f>
        <v/>
      </c>
      <c r="J57" s="11">
        <f>IFERROR(IF('入力シート'!$A57="","",'入力シート'!R57),"")</f>
        <v/>
      </c>
      <c r="K57" s="11">
        <f>IFERROR(IF('入力シート'!$A57="","",IF(H57&gt;='設定'!$B$4,"OK",IF(H57&gt;='設定'!$B$5,"注意","要改善"))),"")</f>
        <v/>
      </c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</row>
    <row r="58" ht="26.75" customHeight="1">
      <c r="A58" s="11">
        <f>IFERROR(IF('入力シート'!$A58="","",'入力シート'!A58),"")</f>
        <v/>
      </c>
      <c r="B58" s="11">
        <f>IFERROR(IF('入力シート'!$A58="","",'入力シート'!B58),"")</f>
        <v/>
      </c>
      <c r="C58" s="11">
        <f>IFERROR(IF('入力シート'!$A58="","",'入力シート'!C58),"")</f>
        <v/>
      </c>
      <c r="D58" s="11">
        <f>IFERROR(IF('入力シート'!$A58="","",'入力シート'!D58),"")</f>
        <v/>
      </c>
      <c r="E58" s="3">
        <f>IFERROR(IF('入力シート'!$A58="","",'入力シート'!I58),"")</f>
        <v/>
      </c>
      <c r="F58" s="3">
        <f>IFERROR(IF('入力シート'!$A58="","",'入力シート'!N58),"")</f>
        <v/>
      </c>
      <c r="G58" s="3">
        <f>IFERROR(IF('入力シート'!$A58="","",'入力シート'!O58),"")</f>
        <v/>
      </c>
      <c r="H58" s="17">
        <f>IFERROR(IF('入力シート'!$A58="","",'入力シート'!P58),"")</f>
        <v/>
      </c>
      <c r="I58" s="11">
        <f>IFERROR(IF('入力シート'!$A58="","",'入力シート'!Q58),"")</f>
        <v/>
      </c>
      <c r="J58" s="11">
        <f>IFERROR(IF('入力シート'!$A58="","",'入力シート'!R58),"")</f>
        <v/>
      </c>
      <c r="K58" s="11">
        <f>IFERROR(IF('入力シート'!$A58="","",IF(H58&gt;='設定'!$B$4,"OK",IF(H58&gt;='設定'!$B$5,"注意","要改善"))),"")</f>
        <v/>
      </c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</row>
    <row r="59" ht="26.75" customHeight="1">
      <c r="A59" s="11">
        <f>IFERROR(IF('入力シート'!$A59="","",'入力シート'!A59),"")</f>
        <v/>
      </c>
      <c r="B59" s="11">
        <f>IFERROR(IF('入力シート'!$A59="","",'入力シート'!B59),"")</f>
        <v/>
      </c>
      <c r="C59" s="11">
        <f>IFERROR(IF('入力シート'!$A59="","",'入力シート'!C59),"")</f>
        <v/>
      </c>
      <c r="D59" s="11">
        <f>IFERROR(IF('入力シート'!$A59="","",'入力シート'!D59),"")</f>
        <v/>
      </c>
      <c r="E59" s="3">
        <f>IFERROR(IF('入力シート'!$A59="","",'入力シート'!I59),"")</f>
        <v/>
      </c>
      <c r="F59" s="3">
        <f>IFERROR(IF('入力シート'!$A59="","",'入力シート'!N59),"")</f>
        <v/>
      </c>
      <c r="G59" s="3">
        <f>IFERROR(IF('入力シート'!$A59="","",'入力シート'!O59),"")</f>
        <v/>
      </c>
      <c r="H59" s="17">
        <f>IFERROR(IF('入力シート'!$A59="","",'入力シート'!P59),"")</f>
        <v/>
      </c>
      <c r="I59" s="11">
        <f>IFERROR(IF('入力シート'!$A59="","",'入力シート'!Q59),"")</f>
        <v/>
      </c>
      <c r="J59" s="11">
        <f>IFERROR(IF('入力シート'!$A59="","",'入力シート'!R59),"")</f>
        <v/>
      </c>
      <c r="K59" s="11">
        <f>IFERROR(IF('入力シート'!$A59="","",IF(H59&gt;='設定'!$B$4,"OK",IF(H59&gt;='設定'!$B$5,"注意","要改善"))),"")</f>
        <v/>
      </c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</row>
    <row r="60" ht="26.75" customHeight="1">
      <c r="A60" s="11">
        <f>IFERROR(IF('入力シート'!$A60="","",'入力シート'!A60),"")</f>
        <v/>
      </c>
      <c r="B60" s="11">
        <f>IFERROR(IF('入力シート'!$A60="","",'入力シート'!B60),"")</f>
        <v/>
      </c>
      <c r="C60" s="11">
        <f>IFERROR(IF('入力シート'!$A60="","",'入力シート'!C60),"")</f>
        <v/>
      </c>
      <c r="D60" s="11">
        <f>IFERROR(IF('入力シート'!$A60="","",'入力シート'!D60),"")</f>
        <v/>
      </c>
      <c r="E60" s="3">
        <f>IFERROR(IF('入力シート'!$A60="","",'入力シート'!I60),"")</f>
        <v/>
      </c>
      <c r="F60" s="3">
        <f>IFERROR(IF('入力シート'!$A60="","",'入力シート'!N60),"")</f>
        <v/>
      </c>
      <c r="G60" s="3">
        <f>IFERROR(IF('入力シート'!$A60="","",'入力シート'!O60),"")</f>
        <v/>
      </c>
      <c r="H60" s="17">
        <f>IFERROR(IF('入力シート'!$A60="","",'入力シート'!P60),"")</f>
        <v/>
      </c>
      <c r="I60" s="11">
        <f>IFERROR(IF('入力シート'!$A60="","",'入力シート'!Q60),"")</f>
        <v/>
      </c>
      <c r="J60" s="11">
        <f>IFERROR(IF('入力シート'!$A60="","",'入力シート'!R60),"")</f>
        <v/>
      </c>
      <c r="K60" s="11">
        <f>IFERROR(IF('入力シート'!$A60="","",IF(H60&gt;='設定'!$B$4,"OK",IF(H60&gt;='設定'!$B$5,"注意","要改善"))),"")</f>
        <v/>
      </c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</row>
    <row r="61" ht="26.75" customHeight="1">
      <c r="A61" s="11">
        <f>IFERROR(IF('入力シート'!$A61="","",'入力シート'!A61),"")</f>
        <v/>
      </c>
      <c r="B61" s="11">
        <f>IFERROR(IF('入力シート'!$A61="","",'入力シート'!B61),"")</f>
        <v/>
      </c>
      <c r="C61" s="11">
        <f>IFERROR(IF('入力シート'!$A61="","",'入力シート'!C61),"")</f>
        <v/>
      </c>
      <c r="D61" s="11">
        <f>IFERROR(IF('入力シート'!$A61="","",'入力シート'!D61),"")</f>
        <v/>
      </c>
      <c r="E61" s="3">
        <f>IFERROR(IF('入力シート'!$A61="","",'入力シート'!I61),"")</f>
        <v/>
      </c>
      <c r="F61" s="3">
        <f>IFERROR(IF('入力シート'!$A61="","",'入力シート'!N61),"")</f>
        <v/>
      </c>
      <c r="G61" s="3">
        <f>IFERROR(IF('入力シート'!$A61="","",'入力シート'!O61),"")</f>
        <v/>
      </c>
      <c r="H61" s="17">
        <f>IFERROR(IF('入力シート'!$A61="","",'入力シート'!P61),"")</f>
        <v/>
      </c>
      <c r="I61" s="11">
        <f>IFERROR(IF('入力シート'!$A61="","",'入力シート'!Q61),"")</f>
        <v/>
      </c>
      <c r="J61" s="11">
        <f>IFERROR(IF('入力シート'!$A61="","",'入力シート'!R61),"")</f>
        <v/>
      </c>
      <c r="K61" s="11">
        <f>IFERROR(IF('入力シート'!$A61="","",IF(H61&gt;='設定'!$B$4,"OK",IF(H61&gt;='設定'!$B$5,"注意","要改善"))),"")</f>
        <v/>
      </c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</row>
    <row r="62" ht="26.75" customHeight="1">
      <c r="A62" s="11">
        <f>IFERROR(IF('入力シート'!$A62="","",'入力シート'!A62),"")</f>
        <v/>
      </c>
      <c r="B62" s="11">
        <f>IFERROR(IF('入力シート'!$A62="","",'入力シート'!B62),"")</f>
        <v/>
      </c>
      <c r="C62" s="11">
        <f>IFERROR(IF('入力シート'!$A62="","",'入力シート'!C62),"")</f>
        <v/>
      </c>
      <c r="D62" s="11">
        <f>IFERROR(IF('入力シート'!$A62="","",'入力シート'!D62),"")</f>
        <v/>
      </c>
      <c r="E62" s="3">
        <f>IFERROR(IF('入力シート'!$A62="","",'入力シート'!I62),"")</f>
        <v/>
      </c>
      <c r="F62" s="3">
        <f>IFERROR(IF('入力シート'!$A62="","",'入力シート'!N62),"")</f>
        <v/>
      </c>
      <c r="G62" s="3">
        <f>IFERROR(IF('入力シート'!$A62="","",'入力シート'!O62),"")</f>
        <v/>
      </c>
      <c r="H62" s="17">
        <f>IFERROR(IF('入力シート'!$A62="","",'入力シート'!P62),"")</f>
        <v/>
      </c>
      <c r="I62" s="11">
        <f>IFERROR(IF('入力シート'!$A62="","",'入力シート'!Q62),"")</f>
        <v/>
      </c>
      <c r="J62" s="11">
        <f>IFERROR(IF('入力シート'!$A62="","",'入力シート'!R62),"")</f>
        <v/>
      </c>
      <c r="K62" s="11">
        <f>IFERROR(IF('入力シート'!$A62="","",IF(H62&gt;='設定'!$B$4,"OK",IF(H62&gt;='設定'!$B$5,"注意","要改善"))),"")</f>
        <v/>
      </c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</row>
    <row r="63" ht="26.75" customHeight="1">
      <c r="A63" s="11">
        <f>IFERROR(IF('入力シート'!$A63="","",'入力シート'!A63),"")</f>
        <v/>
      </c>
      <c r="B63" s="11">
        <f>IFERROR(IF('入力シート'!$A63="","",'入力シート'!B63),"")</f>
        <v/>
      </c>
      <c r="C63" s="11">
        <f>IFERROR(IF('入力シート'!$A63="","",'入力シート'!C63),"")</f>
        <v/>
      </c>
      <c r="D63" s="11">
        <f>IFERROR(IF('入力シート'!$A63="","",'入力シート'!D63),"")</f>
        <v/>
      </c>
      <c r="E63" s="3">
        <f>IFERROR(IF('入力シート'!$A63="","",'入力シート'!I63),"")</f>
        <v/>
      </c>
      <c r="F63" s="3">
        <f>IFERROR(IF('入力シート'!$A63="","",'入力シート'!N63),"")</f>
        <v/>
      </c>
      <c r="G63" s="3">
        <f>IFERROR(IF('入力シート'!$A63="","",'入力シート'!O63),"")</f>
        <v/>
      </c>
      <c r="H63" s="17">
        <f>IFERROR(IF('入力シート'!$A63="","",'入力シート'!P63),"")</f>
        <v/>
      </c>
      <c r="I63" s="11">
        <f>IFERROR(IF('入力シート'!$A63="","",'入力シート'!Q63),"")</f>
        <v/>
      </c>
      <c r="J63" s="11">
        <f>IFERROR(IF('入力シート'!$A63="","",'入力シート'!R63),"")</f>
        <v/>
      </c>
      <c r="K63" s="11">
        <f>IFERROR(IF('入力シート'!$A63="","",IF(H63&gt;='設定'!$B$4,"OK",IF(H63&gt;='設定'!$B$5,"注意","要改善"))),"")</f>
        <v/>
      </c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</row>
    <row r="64" ht="26.75" customHeight="1">
      <c r="A64" s="11">
        <f>IFERROR(IF('入力シート'!$A64="","",'入力シート'!A64),"")</f>
        <v/>
      </c>
      <c r="B64" s="11">
        <f>IFERROR(IF('入力シート'!$A64="","",'入力シート'!B64),"")</f>
        <v/>
      </c>
      <c r="C64" s="11">
        <f>IFERROR(IF('入力シート'!$A64="","",'入力シート'!C64),"")</f>
        <v/>
      </c>
      <c r="D64" s="11">
        <f>IFERROR(IF('入力シート'!$A64="","",'入力シート'!D64),"")</f>
        <v/>
      </c>
      <c r="E64" s="3">
        <f>IFERROR(IF('入力シート'!$A64="","",'入力シート'!I64),"")</f>
        <v/>
      </c>
      <c r="F64" s="3">
        <f>IFERROR(IF('入力シート'!$A64="","",'入力シート'!N64),"")</f>
        <v/>
      </c>
      <c r="G64" s="3">
        <f>IFERROR(IF('入力シート'!$A64="","",'入力シート'!O64),"")</f>
        <v/>
      </c>
      <c r="H64" s="17">
        <f>IFERROR(IF('入力シート'!$A64="","",'入力シート'!P64),"")</f>
        <v/>
      </c>
      <c r="I64" s="11">
        <f>IFERROR(IF('入力シート'!$A64="","",'入力シート'!Q64),"")</f>
        <v/>
      </c>
      <c r="J64" s="11">
        <f>IFERROR(IF('入力シート'!$A64="","",'入力シート'!R64),"")</f>
        <v/>
      </c>
      <c r="K64" s="11">
        <f>IFERROR(IF('入力シート'!$A64="","",IF(H64&gt;='設定'!$B$4,"OK",IF(H64&gt;='設定'!$B$5,"注意","要改善"))),"")</f>
        <v/>
      </c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</row>
    <row r="65" ht="26.75" customHeight="1">
      <c r="A65" s="11">
        <f>IFERROR(IF('入力シート'!$A65="","",'入力シート'!A65),"")</f>
        <v/>
      </c>
      <c r="B65" s="11">
        <f>IFERROR(IF('入力シート'!$A65="","",'入力シート'!B65),"")</f>
        <v/>
      </c>
      <c r="C65" s="11">
        <f>IFERROR(IF('入力シート'!$A65="","",'入力シート'!C65),"")</f>
        <v/>
      </c>
      <c r="D65" s="11">
        <f>IFERROR(IF('入力シート'!$A65="","",'入力シート'!D65),"")</f>
        <v/>
      </c>
      <c r="E65" s="3">
        <f>IFERROR(IF('入力シート'!$A65="","",'入力シート'!I65),"")</f>
        <v/>
      </c>
      <c r="F65" s="3">
        <f>IFERROR(IF('入力シート'!$A65="","",'入力シート'!N65),"")</f>
        <v/>
      </c>
      <c r="G65" s="3">
        <f>IFERROR(IF('入力シート'!$A65="","",'入力シート'!O65),"")</f>
        <v/>
      </c>
      <c r="H65" s="17">
        <f>IFERROR(IF('入力シート'!$A65="","",'入力シート'!P65),"")</f>
        <v/>
      </c>
      <c r="I65" s="11">
        <f>IFERROR(IF('入力シート'!$A65="","",'入力シート'!Q65),"")</f>
        <v/>
      </c>
      <c r="J65" s="11">
        <f>IFERROR(IF('入力シート'!$A65="","",'入力シート'!R65),"")</f>
        <v/>
      </c>
      <c r="K65" s="11">
        <f>IFERROR(IF('入力シート'!$A65="","",IF(H65&gt;='設定'!$B$4,"OK",IF(H65&gt;='設定'!$B$5,"注意","要改善"))),"")</f>
        <v/>
      </c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</row>
    <row r="66" ht="26.75" customHeight="1">
      <c r="A66" s="11">
        <f>IFERROR(IF('入力シート'!$A66="","",'入力シート'!A66),"")</f>
        <v/>
      </c>
      <c r="B66" s="11">
        <f>IFERROR(IF('入力シート'!$A66="","",'入力シート'!B66),"")</f>
        <v/>
      </c>
      <c r="C66" s="11">
        <f>IFERROR(IF('入力シート'!$A66="","",'入力シート'!C66),"")</f>
        <v/>
      </c>
      <c r="D66" s="11">
        <f>IFERROR(IF('入力シート'!$A66="","",'入力シート'!D66),"")</f>
        <v/>
      </c>
      <c r="E66" s="3">
        <f>IFERROR(IF('入力シート'!$A66="","",'入力シート'!I66),"")</f>
        <v/>
      </c>
      <c r="F66" s="3">
        <f>IFERROR(IF('入力シート'!$A66="","",'入力シート'!N66),"")</f>
        <v/>
      </c>
      <c r="G66" s="3">
        <f>IFERROR(IF('入力シート'!$A66="","",'入力シート'!O66),"")</f>
        <v/>
      </c>
      <c r="H66" s="17">
        <f>IFERROR(IF('入力シート'!$A66="","",'入力シート'!P66),"")</f>
        <v/>
      </c>
      <c r="I66" s="11">
        <f>IFERROR(IF('入力シート'!$A66="","",'入力シート'!Q66),"")</f>
        <v/>
      </c>
      <c r="J66" s="11">
        <f>IFERROR(IF('入力シート'!$A66="","",'入力シート'!R66),"")</f>
        <v/>
      </c>
      <c r="K66" s="11">
        <f>IFERROR(IF('入力シート'!$A66="","",IF(H66&gt;='設定'!$B$4,"OK",IF(H66&gt;='設定'!$B$5,"注意","要改善"))),"")</f>
        <v/>
      </c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</row>
    <row r="67" ht="26.75" customHeight="1">
      <c r="A67" s="11">
        <f>IFERROR(IF('入力シート'!$A67="","",'入力シート'!A67),"")</f>
        <v/>
      </c>
      <c r="B67" s="11">
        <f>IFERROR(IF('入力シート'!$A67="","",'入力シート'!B67),"")</f>
        <v/>
      </c>
      <c r="C67" s="11">
        <f>IFERROR(IF('入力シート'!$A67="","",'入力シート'!C67),"")</f>
        <v/>
      </c>
      <c r="D67" s="11">
        <f>IFERROR(IF('入力シート'!$A67="","",'入力シート'!D67),"")</f>
        <v/>
      </c>
      <c r="E67" s="3">
        <f>IFERROR(IF('入力シート'!$A67="","",'入力シート'!I67),"")</f>
        <v/>
      </c>
      <c r="F67" s="3">
        <f>IFERROR(IF('入力シート'!$A67="","",'入力シート'!N67),"")</f>
        <v/>
      </c>
      <c r="G67" s="3">
        <f>IFERROR(IF('入力シート'!$A67="","",'入力シート'!O67),"")</f>
        <v/>
      </c>
      <c r="H67" s="17">
        <f>IFERROR(IF('入力シート'!$A67="","",'入力シート'!P67),"")</f>
        <v/>
      </c>
      <c r="I67" s="11">
        <f>IFERROR(IF('入力シート'!$A67="","",'入力シート'!Q67),"")</f>
        <v/>
      </c>
      <c r="J67" s="11">
        <f>IFERROR(IF('入力シート'!$A67="","",'入力シート'!R67),"")</f>
        <v/>
      </c>
      <c r="K67" s="11">
        <f>IFERROR(IF('入力シート'!$A67="","",IF(H67&gt;='設定'!$B$4,"OK",IF(H67&gt;='設定'!$B$5,"注意","要改善"))),"")</f>
        <v/>
      </c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</row>
    <row r="68" ht="26.75" customHeight="1">
      <c r="A68" s="11">
        <f>IFERROR(IF('入力シート'!$A68="","",'入力シート'!A68),"")</f>
        <v/>
      </c>
      <c r="B68" s="11">
        <f>IFERROR(IF('入力シート'!$A68="","",'入力シート'!B68),"")</f>
        <v/>
      </c>
      <c r="C68" s="11">
        <f>IFERROR(IF('入力シート'!$A68="","",'入力シート'!C68),"")</f>
        <v/>
      </c>
      <c r="D68" s="11">
        <f>IFERROR(IF('入力シート'!$A68="","",'入力シート'!D68),"")</f>
        <v/>
      </c>
      <c r="E68" s="3">
        <f>IFERROR(IF('入力シート'!$A68="","",'入力シート'!I68),"")</f>
        <v/>
      </c>
      <c r="F68" s="3">
        <f>IFERROR(IF('入力シート'!$A68="","",'入力シート'!N68),"")</f>
        <v/>
      </c>
      <c r="G68" s="3">
        <f>IFERROR(IF('入力シート'!$A68="","",'入力シート'!O68),"")</f>
        <v/>
      </c>
      <c r="H68" s="17">
        <f>IFERROR(IF('入力シート'!$A68="","",'入力シート'!P68),"")</f>
        <v/>
      </c>
      <c r="I68" s="11">
        <f>IFERROR(IF('入力シート'!$A68="","",'入力シート'!Q68),"")</f>
        <v/>
      </c>
      <c r="J68" s="11">
        <f>IFERROR(IF('入力シート'!$A68="","",'入力シート'!R68),"")</f>
        <v/>
      </c>
      <c r="K68" s="11">
        <f>IFERROR(IF('入力シート'!$A68="","",IF(H68&gt;='設定'!$B$4,"OK",IF(H68&gt;='設定'!$B$5,"注意","要改善"))),"")</f>
        <v/>
      </c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</row>
    <row r="69" ht="26.75" customHeight="1">
      <c r="A69" s="11">
        <f>IFERROR(IF('入力シート'!$A69="","",'入力シート'!A69),"")</f>
        <v/>
      </c>
      <c r="B69" s="11">
        <f>IFERROR(IF('入力シート'!$A69="","",'入力シート'!B69),"")</f>
        <v/>
      </c>
      <c r="C69" s="11">
        <f>IFERROR(IF('入力シート'!$A69="","",'入力シート'!C69),"")</f>
        <v/>
      </c>
      <c r="D69" s="11">
        <f>IFERROR(IF('入力シート'!$A69="","",'入力シート'!D69),"")</f>
        <v/>
      </c>
      <c r="E69" s="3">
        <f>IFERROR(IF('入力シート'!$A69="","",'入力シート'!I69),"")</f>
        <v/>
      </c>
      <c r="F69" s="3">
        <f>IFERROR(IF('入力シート'!$A69="","",'入力シート'!N69),"")</f>
        <v/>
      </c>
      <c r="G69" s="3">
        <f>IFERROR(IF('入力シート'!$A69="","",'入力シート'!O69),"")</f>
        <v/>
      </c>
      <c r="H69" s="17">
        <f>IFERROR(IF('入力シート'!$A69="","",'入力シート'!P69),"")</f>
        <v/>
      </c>
      <c r="I69" s="11">
        <f>IFERROR(IF('入力シート'!$A69="","",'入力シート'!Q69),"")</f>
        <v/>
      </c>
      <c r="J69" s="11">
        <f>IFERROR(IF('入力シート'!$A69="","",'入力シート'!R69),"")</f>
        <v/>
      </c>
      <c r="K69" s="11">
        <f>IFERROR(IF('入力シート'!$A69="","",IF(H69&gt;='設定'!$B$4,"OK",IF(H69&gt;='設定'!$B$5,"注意","要改善"))),"")</f>
        <v/>
      </c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</row>
    <row r="70" ht="26.75" customHeight="1">
      <c r="A70" s="11">
        <f>IFERROR(IF('入力シート'!$A70="","",'入力シート'!A70),"")</f>
        <v/>
      </c>
      <c r="B70" s="11">
        <f>IFERROR(IF('入力シート'!$A70="","",'入力シート'!B70),"")</f>
        <v/>
      </c>
      <c r="C70" s="11">
        <f>IFERROR(IF('入力シート'!$A70="","",'入力シート'!C70),"")</f>
        <v/>
      </c>
      <c r="D70" s="11">
        <f>IFERROR(IF('入力シート'!$A70="","",'入力シート'!D70),"")</f>
        <v/>
      </c>
      <c r="E70" s="3">
        <f>IFERROR(IF('入力シート'!$A70="","",'入力シート'!I70),"")</f>
        <v/>
      </c>
      <c r="F70" s="3">
        <f>IFERROR(IF('入力シート'!$A70="","",'入力シート'!N70),"")</f>
        <v/>
      </c>
      <c r="G70" s="3">
        <f>IFERROR(IF('入力シート'!$A70="","",'入力シート'!O70),"")</f>
        <v/>
      </c>
      <c r="H70" s="17">
        <f>IFERROR(IF('入力シート'!$A70="","",'入力シート'!P70),"")</f>
        <v/>
      </c>
      <c r="I70" s="11">
        <f>IFERROR(IF('入力シート'!$A70="","",'入力シート'!Q70),"")</f>
        <v/>
      </c>
      <c r="J70" s="11">
        <f>IFERROR(IF('入力シート'!$A70="","",'入力シート'!R70),"")</f>
        <v/>
      </c>
      <c r="K70" s="11">
        <f>IFERROR(IF('入力シート'!$A70="","",IF(H70&gt;='設定'!$B$4,"OK",IF(H70&gt;='設定'!$B$5,"注意","要改善"))),"")</f>
        <v/>
      </c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</row>
    <row r="71" ht="26.75" customHeight="1">
      <c r="A71" s="11">
        <f>IFERROR(IF('入力シート'!$A71="","",'入力シート'!A71),"")</f>
        <v/>
      </c>
      <c r="B71" s="11">
        <f>IFERROR(IF('入力シート'!$A71="","",'入力シート'!B71),"")</f>
        <v/>
      </c>
      <c r="C71" s="11">
        <f>IFERROR(IF('入力シート'!$A71="","",'入力シート'!C71),"")</f>
        <v/>
      </c>
      <c r="D71" s="11">
        <f>IFERROR(IF('入力シート'!$A71="","",'入力シート'!D71),"")</f>
        <v/>
      </c>
      <c r="E71" s="3">
        <f>IFERROR(IF('入力シート'!$A71="","",'入力シート'!I71),"")</f>
        <v/>
      </c>
      <c r="F71" s="3">
        <f>IFERROR(IF('入力シート'!$A71="","",'入力シート'!N71),"")</f>
        <v/>
      </c>
      <c r="G71" s="3">
        <f>IFERROR(IF('入力シート'!$A71="","",'入力シート'!O71),"")</f>
        <v/>
      </c>
      <c r="H71" s="17">
        <f>IFERROR(IF('入力シート'!$A71="","",'入力シート'!P71),"")</f>
        <v/>
      </c>
      <c r="I71" s="11">
        <f>IFERROR(IF('入力シート'!$A71="","",'入力シート'!Q71),"")</f>
        <v/>
      </c>
      <c r="J71" s="11">
        <f>IFERROR(IF('入力シート'!$A71="","",'入力シート'!R71),"")</f>
        <v/>
      </c>
      <c r="K71" s="11">
        <f>IFERROR(IF('入力シート'!$A71="","",IF(H71&gt;='設定'!$B$4,"OK",IF(H71&gt;='設定'!$B$5,"注意","要改善"))),"")</f>
        <v/>
      </c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</row>
    <row r="72" ht="26.75" customHeight="1">
      <c r="A72" s="11">
        <f>IFERROR(IF('入力シート'!$A72="","",'入力シート'!A72),"")</f>
        <v/>
      </c>
      <c r="B72" s="11">
        <f>IFERROR(IF('入力シート'!$A72="","",'入力シート'!B72),"")</f>
        <v/>
      </c>
      <c r="C72" s="11">
        <f>IFERROR(IF('入力シート'!$A72="","",'入力シート'!C72),"")</f>
        <v/>
      </c>
      <c r="D72" s="11">
        <f>IFERROR(IF('入力シート'!$A72="","",'入力シート'!D72),"")</f>
        <v/>
      </c>
      <c r="E72" s="3">
        <f>IFERROR(IF('入力シート'!$A72="","",'入力シート'!I72),"")</f>
        <v/>
      </c>
      <c r="F72" s="3">
        <f>IFERROR(IF('入力シート'!$A72="","",'入力シート'!N72),"")</f>
        <v/>
      </c>
      <c r="G72" s="3">
        <f>IFERROR(IF('入力シート'!$A72="","",'入力シート'!O72),"")</f>
        <v/>
      </c>
      <c r="H72" s="17">
        <f>IFERROR(IF('入力シート'!$A72="","",'入力シート'!P72),"")</f>
        <v/>
      </c>
      <c r="I72" s="11">
        <f>IFERROR(IF('入力シート'!$A72="","",'入力シート'!Q72),"")</f>
        <v/>
      </c>
      <c r="J72" s="11">
        <f>IFERROR(IF('入力シート'!$A72="","",'入力シート'!R72),"")</f>
        <v/>
      </c>
      <c r="K72" s="11">
        <f>IFERROR(IF('入力シート'!$A72="","",IF(H72&gt;='設定'!$B$4,"OK",IF(H72&gt;='設定'!$B$5,"注意","要改善"))),"")</f>
        <v/>
      </c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</row>
    <row r="73" ht="26.75" customHeight="1">
      <c r="A73" s="11">
        <f>IFERROR(IF('入力シート'!$A73="","",'入力シート'!A73),"")</f>
        <v/>
      </c>
      <c r="B73" s="11">
        <f>IFERROR(IF('入力シート'!$A73="","",'入力シート'!B73),"")</f>
        <v/>
      </c>
      <c r="C73" s="11">
        <f>IFERROR(IF('入力シート'!$A73="","",'入力シート'!C73),"")</f>
        <v/>
      </c>
      <c r="D73" s="11">
        <f>IFERROR(IF('入力シート'!$A73="","",'入力シート'!D73),"")</f>
        <v/>
      </c>
      <c r="E73" s="3">
        <f>IFERROR(IF('入力シート'!$A73="","",'入力シート'!I73),"")</f>
        <v/>
      </c>
      <c r="F73" s="3">
        <f>IFERROR(IF('入力シート'!$A73="","",'入力シート'!N73),"")</f>
        <v/>
      </c>
      <c r="G73" s="3">
        <f>IFERROR(IF('入力シート'!$A73="","",'入力シート'!O73),"")</f>
        <v/>
      </c>
      <c r="H73" s="17">
        <f>IFERROR(IF('入力シート'!$A73="","",'入力シート'!P73),"")</f>
        <v/>
      </c>
      <c r="I73" s="11">
        <f>IFERROR(IF('入力シート'!$A73="","",'入力シート'!Q73),"")</f>
        <v/>
      </c>
      <c r="J73" s="11">
        <f>IFERROR(IF('入力シート'!$A73="","",'入力シート'!R73),"")</f>
        <v/>
      </c>
      <c r="K73" s="11">
        <f>IFERROR(IF('入力シート'!$A73="","",IF(H73&gt;='設定'!$B$4,"OK",IF(H73&gt;='設定'!$B$5,"注意","要改善"))),"")</f>
        <v/>
      </c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 ht="26.75" customHeight="1">
      <c r="A74" s="11">
        <f>IFERROR(IF('入力シート'!$A74="","",'入力シート'!A74),"")</f>
        <v/>
      </c>
      <c r="B74" s="11">
        <f>IFERROR(IF('入力シート'!$A74="","",'入力シート'!B74),"")</f>
        <v/>
      </c>
      <c r="C74" s="11">
        <f>IFERROR(IF('入力シート'!$A74="","",'入力シート'!C74),"")</f>
        <v/>
      </c>
      <c r="D74" s="11">
        <f>IFERROR(IF('入力シート'!$A74="","",'入力シート'!D74),"")</f>
        <v/>
      </c>
      <c r="E74" s="3">
        <f>IFERROR(IF('入力シート'!$A74="","",'入力シート'!I74),"")</f>
        <v/>
      </c>
      <c r="F74" s="3">
        <f>IFERROR(IF('入力シート'!$A74="","",'入力シート'!N74),"")</f>
        <v/>
      </c>
      <c r="G74" s="3">
        <f>IFERROR(IF('入力シート'!$A74="","",'入力シート'!O74),"")</f>
        <v/>
      </c>
      <c r="H74" s="17">
        <f>IFERROR(IF('入力シート'!$A74="","",'入力シート'!P74),"")</f>
        <v/>
      </c>
      <c r="I74" s="11">
        <f>IFERROR(IF('入力シート'!$A74="","",'入力シート'!Q74),"")</f>
        <v/>
      </c>
      <c r="J74" s="11">
        <f>IFERROR(IF('入力シート'!$A74="","",'入力シート'!R74),"")</f>
        <v/>
      </c>
      <c r="K74" s="11">
        <f>IFERROR(IF('入力シート'!$A74="","",IF(H74&gt;='設定'!$B$4,"OK",IF(H74&gt;='設定'!$B$5,"注意","要改善"))),"")</f>
        <v/>
      </c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</row>
    <row r="75" ht="26.75" customHeight="1">
      <c r="A75" s="11">
        <f>IFERROR(IF('入力シート'!$A75="","",'入力シート'!A75),"")</f>
        <v/>
      </c>
      <c r="B75" s="11">
        <f>IFERROR(IF('入力シート'!$A75="","",'入力シート'!B75),"")</f>
        <v/>
      </c>
      <c r="C75" s="11">
        <f>IFERROR(IF('入力シート'!$A75="","",'入力シート'!C75),"")</f>
        <v/>
      </c>
      <c r="D75" s="11">
        <f>IFERROR(IF('入力シート'!$A75="","",'入力シート'!D75),"")</f>
        <v/>
      </c>
      <c r="E75" s="3">
        <f>IFERROR(IF('入力シート'!$A75="","",'入力シート'!I75),"")</f>
        <v/>
      </c>
      <c r="F75" s="3">
        <f>IFERROR(IF('入力シート'!$A75="","",'入力シート'!N75),"")</f>
        <v/>
      </c>
      <c r="G75" s="3">
        <f>IFERROR(IF('入力シート'!$A75="","",'入力シート'!O75),"")</f>
        <v/>
      </c>
      <c r="H75" s="17">
        <f>IFERROR(IF('入力シート'!$A75="","",'入力シート'!P75),"")</f>
        <v/>
      </c>
      <c r="I75" s="11">
        <f>IFERROR(IF('入力シート'!$A75="","",'入力シート'!Q75),"")</f>
        <v/>
      </c>
      <c r="J75" s="11">
        <f>IFERROR(IF('入力シート'!$A75="","",'入力シート'!R75),"")</f>
        <v/>
      </c>
      <c r="K75" s="11">
        <f>IFERROR(IF('入力シート'!$A75="","",IF(H75&gt;='設定'!$B$4,"OK",IF(H75&gt;='設定'!$B$5,"注意","要改善"))),"")</f>
        <v/>
      </c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ht="26.75" customHeight="1">
      <c r="A76" s="11">
        <f>IFERROR(IF('入力シート'!$A76="","",'入力シート'!A76),"")</f>
        <v/>
      </c>
      <c r="B76" s="11">
        <f>IFERROR(IF('入力シート'!$A76="","",'入力シート'!B76),"")</f>
        <v/>
      </c>
      <c r="C76" s="11">
        <f>IFERROR(IF('入力シート'!$A76="","",'入力シート'!C76),"")</f>
        <v/>
      </c>
      <c r="D76" s="11">
        <f>IFERROR(IF('入力シート'!$A76="","",'入力シート'!D76),"")</f>
        <v/>
      </c>
      <c r="E76" s="3">
        <f>IFERROR(IF('入力シート'!$A76="","",'入力シート'!I76),"")</f>
        <v/>
      </c>
      <c r="F76" s="3">
        <f>IFERROR(IF('入力シート'!$A76="","",'入力シート'!N76),"")</f>
        <v/>
      </c>
      <c r="G76" s="3">
        <f>IFERROR(IF('入力シート'!$A76="","",'入力シート'!O76),"")</f>
        <v/>
      </c>
      <c r="H76" s="17">
        <f>IFERROR(IF('入力シート'!$A76="","",'入力シート'!P76),"")</f>
        <v/>
      </c>
      <c r="I76" s="11">
        <f>IFERROR(IF('入力シート'!$A76="","",'入力シート'!Q76),"")</f>
        <v/>
      </c>
      <c r="J76" s="11">
        <f>IFERROR(IF('入力シート'!$A76="","",'入力シート'!R76),"")</f>
        <v/>
      </c>
      <c r="K76" s="11">
        <f>IFERROR(IF('入力シート'!$A76="","",IF(H76&gt;='設定'!$B$4,"OK",IF(H76&gt;='設定'!$B$5,"注意","要改善"))),"")</f>
        <v/>
      </c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 ht="26.75" customHeight="1">
      <c r="A77" s="11">
        <f>IFERROR(IF('入力シート'!$A77="","",'入力シート'!A77),"")</f>
        <v/>
      </c>
      <c r="B77" s="11">
        <f>IFERROR(IF('入力シート'!$A77="","",'入力シート'!B77),"")</f>
        <v/>
      </c>
      <c r="C77" s="11">
        <f>IFERROR(IF('入力シート'!$A77="","",'入力シート'!C77),"")</f>
        <v/>
      </c>
      <c r="D77" s="11">
        <f>IFERROR(IF('入力シート'!$A77="","",'入力シート'!D77),"")</f>
        <v/>
      </c>
      <c r="E77" s="3">
        <f>IFERROR(IF('入力シート'!$A77="","",'入力シート'!I77),"")</f>
        <v/>
      </c>
      <c r="F77" s="3">
        <f>IFERROR(IF('入力シート'!$A77="","",'入力シート'!N77),"")</f>
        <v/>
      </c>
      <c r="G77" s="3">
        <f>IFERROR(IF('入力シート'!$A77="","",'入力シート'!O77),"")</f>
        <v/>
      </c>
      <c r="H77" s="17">
        <f>IFERROR(IF('入力シート'!$A77="","",'入力シート'!P77),"")</f>
        <v/>
      </c>
      <c r="I77" s="11">
        <f>IFERROR(IF('入力シート'!$A77="","",'入力シート'!Q77),"")</f>
        <v/>
      </c>
      <c r="J77" s="11">
        <f>IFERROR(IF('入力シート'!$A77="","",'入力シート'!R77),"")</f>
        <v/>
      </c>
      <c r="K77" s="11">
        <f>IFERROR(IF('入力シート'!$A77="","",IF(H77&gt;='設定'!$B$4,"OK",IF(H77&gt;='設定'!$B$5,"注意","要改善"))),"")</f>
        <v/>
      </c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</row>
    <row r="78" ht="26.75" customHeight="1">
      <c r="A78" s="11">
        <f>IFERROR(IF('入力シート'!$A78="","",'入力シート'!A78),"")</f>
        <v/>
      </c>
      <c r="B78" s="11">
        <f>IFERROR(IF('入力シート'!$A78="","",'入力シート'!B78),"")</f>
        <v/>
      </c>
      <c r="C78" s="11">
        <f>IFERROR(IF('入力シート'!$A78="","",'入力シート'!C78),"")</f>
        <v/>
      </c>
      <c r="D78" s="11">
        <f>IFERROR(IF('入力シート'!$A78="","",'入力シート'!D78),"")</f>
        <v/>
      </c>
      <c r="E78" s="3">
        <f>IFERROR(IF('入力シート'!$A78="","",'入力シート'!I78),"")</f>
        <v/>
      </c>
      <c r="F78" s="3">
        <f>IFERROR(IF('入力シート'!$A78="","",'入力シート'!N78),"")</f>
        <v/>
      </c>
      <c r="G78" s="3">
        <f>IFERROR(IF('入力シート'!$A78="","",'入力シート'!O78),"")</f>
        <v/>
      </c>
      <c r="H78" s="17">
        <f>IFERROR(IF('入力シート'!$A78="","",'入力シート'!P78),"")</f>
        <v/>
      </c>
      <c r="I78" s="11">
        <f>IFERROR(IF('入力シート'!$A78="","",'入力シート'!Q78),"")</f>
        <v/>
      </c>
      <c r="J78" s="11">
        <f>IFERROR(IF('入力シート'!$A78="","",'入力シート'!R78),"")</f>
        <v/>
      </c>
      <c r="K78" s="11">
        <f>IFERROR(IF('入力シート'!$A78="","",IF(H78&gt;='設定'!$B$4,"OK",IF(H78&gt;='設定'!$B$5,"注意","要改善"))),"")</f>
        <v/>
      </c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</row>
    <row r="79" ht="26.75" customHeight="1">
      <c r="A79" s="11">
        <f>IFERROR(IF('入力シート'!$A79="","",'入力シート'!A79),"")</f>
        <v/>
      </c>
      <c r="B79" s="11">
        <f>IFERROR(IF('入力シート'!$A79="","",'入力シート'!B79),"")</f>
        <v/>
      </c>
      <c r="C79" s="11">
        <f>IFERROR(IF('入力シート'!$A79="","",'入力シート'!C79),"")</f>
        <v/>
      </c>
      <c r="D79" s="11">
        <f>IFERROR(IF('入力シート'!$A79="","",'入力シート'!D79),"")</f>
        <v/>
      </c>
      <c r="E79" s="3">
        <f>IFERROR(IF('入力シート'!$A79="","",'入力シート'!I79),"")</f>
        <v/>
      </c>
      <c r="F79" s="3">
        <f>IFERROR(IF('入力シート'!$A79="","",'入力シート'!N79),"")</f>
        <v/>
      </c>
      <c r="G79" s="3">
        <f>IFERROR(IF('入力シート'!$A79="","",'入力シート'!O79),"")</f>
        <v/>
      </c>
      <c r="H79" s="17">
        <f>IFERROR(IF('入力シート'!$A79="","",'入力シート'!P79),"")</f>
        <v/>
      </c>
      <c r="I79" s="11">
        <f>IFERROR(IF('入力シート'!$A79="","",'入力シート'!Q79),"")</f>
        <v/>
      </c>
      <c r="J79" s="11">
        <f>IFERROR(IF('入力シート'!$A79="","",'入力シート'!R79),"")</f>
        <v/>
      </c>
      <c r="K79" s="11">
        <f>IFERROR(IF('入力シート'!$A79="","",IF(H79&gt;='設定'!$B$4,"OK",IF(H79&gt;='設定'!$B$5,"注意","要改善"))),"")</f>
        <v/>
      </c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</row>
    <row r="80" ht="26.75" customHeight="1">
      <c r="A80" s="11">
        <f>IFERROR(IF('入力シート'!$A80="","",'入力シート'!A80),"")</f>
        <v/>
      </c>
      <c r="B80" s="11">
        <f>IFERROR(IF('入力シート'!$A80="","",'入力シート'!B80),"")</f>
        <v/>
      </c>
      <c r="C80" s="11">
        <f>IFERROR(IF('入力シート'!$A80="","",'入力シート'!C80),"")</f>
        <v/>
      </c>
      <c r="D80" s="11">
        <f>IFERROR(IF('入力シート'!$A80="","",'入力シート'!D80),"")</f>
        <v/>
      </c>
      <c r="E80" s="3">
        <f>IFERROR(IF('入力シート'!$A80="","",'入力シート'!I80),"")</f>
        <v/>
      </c>
      <c r="F80" s="3">
        <f>IFERROR(IF('入力シート'!$A80="","",'入力シート'!N80),"")</f>
        <v/>
      </c>
      <c r="G80" s="3">
        <f>IFERROR(IF('入力シート'!$A80="","",'入力シート'!O80),"")</f>
        <v/>
      </c>
      <c r="H80" s="17">
        <f>IFERROR(IF('入力シート'!$A80="","",'入力シート'!P80),"")</f>
        <v/>
      </c>
      <c r="I80" s="11">
        <f>IFERROR(IF('入力シート'!$A80="","",'入力シート'!Q80),"")</f>
        <v/>
      </c>
      <c r="J80" s="11">
        <f>IFERROR(IF('入力シート'!$A80="","",'入力シート'!R80),"")</f>
        <v/>
      </c>
      <c r="K80" s="11">
        <f>IFERROR(IF('入力シート'!$A80="","",IF(H80&gt;='設定'!$B$4,"OK",IF(H80&gt;='設定'!$B$5,"注意","要改善"))),"")</f>
        <v/>
      </c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</row>
    <row r="81" ht="26.75" customHeight="1">
      <c r="A81" s="11">
        <f>IFERROR(IF('入力シート'!$A81="","",'入力シート'!A81),"")</f>
        <v/>
      </c>
      <c r="B81" s="11">
        <f>IFERROR(IF('入力シート'!$A81="","",'入力シート'!B81),"")</f>
        <v/>
      </c>
      <c r="C81" s="11">
        <f>IFERROR(IF('入力シート'!$A81="","",'入力シート'!C81),"")</f>
        <v/>
      </c>
      <c r="D81" s="11">
        <f>IFERROR(IF('入力シート'!$A81="","",'入力シート'!D81),"")</f>
        <v/>
      </c>
      <c r="E81" s="3">
        <f>IFERROR(IF('入力シート'!$A81="","",'入力シート'!I81),"")</f>
        <v/>
      </c>
      <c r="F81" s="3">
        <f>IFERROR(IF('入力シート'!$A81="","",'入力シート'!N81),"")</f>
        <v/>
      </c>
      <c r="G81" s="3">
        <f>IFERROR(IF('入力シート'!$A81="","",'入力シート'!O81),"")</f>
        <v/>
      </c>
      <c r="H81" s="17">
        <f>IFERROR(IF('入力シート'!$A81="","",'入力シート'!P81),"")</f>
        <v/>
      </c>
      <c r="I81" s="11">
        <f>IFERROR(IF('入力シート'!$A81="","",'入力シート'!Q81),"")</f>
        <v/>
      </c>
      <c r="J81" s="11">
        <f>IFERROR(IF('入力シート'!$A81="","",'入力シート'!R81),"")</f>
        <v/>
      </c>
      <c r="K81" s="11">
        <f>IFERROR(IF('入力シート'!$A81="","",IF(H81&gt;='設定'!$B$4,"OK",IF(H81&gt;='設定'!$B$5,"注意","要改善"))),"")</f>
        <v/>
      </c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</row>
    <row r="82" ht="26.75" customHeight="1">
      <c r="A82" s="11">
        <f>IFERROR(IF('入力シート'!$A82="","",'入力シート'!A82),"")</f>
        <v/>
      </c>
      <c r="B82" s="11">
        <f>IFERROR(IF('入力シート'!$A82="","",'入力シート'!B82),"")</f>
        <v/>
      </c>
      <c r="C82" s="11">
        <f>IFERROR(IF('入力シート'!$A82="","",'入力シート'!C82),"")</f>
        <v/>
      </c>
      <c r="D82" s="11">
        <f>IFERROR(IF('入力シート'!$A82="","",'入力シート'!D82),"")</f>
        <v/>
      </c>
      <c r="E82" s="3">
        <f>IFERROR(IF('入力シート'!$A82="","",'入力シート'!I82),"")</f>
        <v/>
      </c>
      <c r="F82" s="3">
        <f>IFERROR(IF('入力シート'!$A82="","",'入力シート'!N82),"")</f>
        <v/>
      </c>
      <c r="G82" s="3">
        <f>IFERROR(IF('入力シート'!$A82="","",'入力シート'!O82),"")</f>
        <v/>
      </c>
      <c r="H82" s="17">
        <f>IFERROR(IF('入力シート'!$A82="","",'入力シート'!P82),"")</f>
        <v/>
      </c>
      <c r="I82" s="11">
        <f>IFERROR(IF('入力シート'!$A82="","",'入力シート'!Q82),"")</f>
        <v/>
      </c>
      <c r="J82" s="11">
        <f>IFERROR(IF('入力シート'!$A82="","",'入力シート'!R82),"")</f>
        <v/>
      </c>
      <c r="K82" s="11">
        <f>IFERROR(IF('入力シート'!$A82="","",IF(H82&gt;='設定'!$B$4,"OK",IF(H82&gt;='設定'!$B$5,"注意","要改善"))),"")</f>
        <v/>
      </c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</row>
    <row r="83" ht="26.75" customHeight="1">
      <c r="A83" s="11">
        <f>IFERROR(IF('入力シート'!$A83="","",'入力シート'!A83),"")</f>
        <v/>
      </c>
      <c r="B83" s="11">
        <f>IFERROR(IF('入力シート'!$A83="","",'入力シート'!B83),"")</f>
        <v/>
      </c>
      <c r="C83" s="11">
        <f>IFERROR(IF('入力シート'!$A83="","",'入力シート'!C83),"")</f>
        <v/>
      </c>
      <c r="D83" s="11">
        <f>IFERROR(IF('入力シート'!$A83="","",'入力シート'!D83),"")</f>
        <v/>
      </c>
      <c r="E83" s="3">
        <f>IFERROR(IF('入力シート'!$A83="","",'入力シート'!I83),"")</f>
        <v/>
      </c>
      <c r="F83" s="3">
        <f>IFERROR(IF('入力シート'!$A83="","",'入力シート'!N83),"")</f>
        <v/>
      </c>
      <c r="G83" s="3">
        <f>IFERROR(IF('入力シート'!$A83="","",'入力シート'!O83),"")</f>
        <v/>
      </c>
      <c r="H83" s="17">
        <f>IFERROR(IF('入力シート'!$A83="","",'入力シート'!P83),"")</f>
        <v/>
      </c>
      <c r="I83" s="11">
        <f>IFERROR(IF('入力シート'!$A83="","",'入力シート'!Q83),"")</f>
        <v/>
      </c>
      <c r="J83" s="11">
        <f>IFERROR(IF('入力シート'!$A83="","",'入力シート'!R83),"")</f>
        <v/>
      </c>
      <c r="K83" s="11">
        <f>IFERROR(IF('入力シート'!$A83="","",IF(H83&gt;='設定'!$B$4,"OK",IF(H83&gt;='設定'!$B$5,"注意","要改善"))),"")</f>
        <v/>
      </c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</row>
    <row r="84" ht="26.75" customHeight="1">
      <c r="A84" s="11">
        <f>IFERROR(IF('入力シート'!$A84="","",'入力シート'!A84),"")</f>
        <v/>
      </c>
      <c r="B84" s="11">
        <f>IFERROR(IF('入力シート'!$A84="","",'入力シート'!B84),"")</f>
        <v/>
      </c>
      <c r="C84" s="11">
        <f>IFERROR(IF('入力シート'!$A84="","",'入力シート'!C84),"")</f>
        <v/>
      </c>
      <c r="D84" s="11">
        <f>IFERROR(IF('入力シート'!$A84="","",'入力シート'!D84),"")</f>
        <v/>
      </c>
      <c r="E84" s="3">
        <f>IFERROR(IF('入力シート'!$A84="","",'入力シート'!I84),"")</f>
        <v/>
      </c>
      <c r="F84" s="3">
        <f>IFERROR(IF('入力シート'!$A84="","",'入力シート'!N84),"")</f>
        <v/>
      </c>
      <c r="G84" s="3">
        <f>IFERROR(IF('入力シート'!$A84="","",'入力シート'!O84),"")</f>
        <v/>
      </c>
      <c r="H84" s="17">
        <f>IFERROR(IF('入力シート'!$A84="","",'入力シート'!P84),"")</f>
        <v/>
      </c>
      <c r="I84" s="11">
        <f>IFERROR(IF('入力シート'!$A84="","",'入力シート'!Q84),"")</f>
        <v/>
      </c>
      <c r="J84" s="11">
        <f>IFERROR(IF('入力シート'!$A84="","",'入力シート'!R84),"")</f>
        <v/>
      </c>
      <c r="K84" s="11">
        <f>IFERROR(IF('入力シート'!$A84="","",IF(H84&gt;='設定'!$B$4,"OK",IF(H84&gt;='設定'!$B$5,"注意","要改善"))),"")</f>
        <v/>
      </c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</row>
    <row r="85" ht="26.75" customHeight="1">
      <c r="A85" s="11">
        <f>IFERROR(IF('入力シート'!$A85="","",'入力シート'!A85),"")</f>
        <v/>
      </c>
      <c r="B85" s="11">
        <f>IFERROR(IF('入力シート'!$A85="","",'入力シート'!B85),"")</f>
        <v/>
      </c>
      <c r="C85" s="11">
        <f>IFERROR(IF('入力シート'!$A85="","",'入力シート'!C85),"")</f>
        <v/>
      </c>
      <c r="D85" s="11">
        <f>IFERROR(IF('入力シート'!$A85="","",'入力シート'!D85),"")</f>
        <v/>
      </c>
      <c r="E85" s="3">
        <f>IFERROR(IF('入力シート'!$A85="","",'入力シート'!I85),"")</f>
        <v/>
      </c>
      <c r="F85" s="3">
        <f>IFERROR(IF('入力シート'!$A85="","",'入力シート'!N85),"")</f>
        <v/>
      </c>
      <c r="G85" s="3">
        <f>IFERROR(IF('入力シート'!$A85="","",'入力シート'!O85),"")</f>
        <v/>
      </c>
      <c r="H85" s="17">
        <f>IFERROR(IF('入力シート'!$A85="","",'入力シート'!P85),"")</f>
        <v/>
      </c>
      <c r="I85" s="11">
        <f>IFERROR(IF('入力シート'!$A85="","",'入力シート'!Q85),"")</f>
        <v/>
      </c>
      <c r="J85" s="11">
        <f>IFERROR(IF('入力シート'!$A85="","",'入力シート'!R85),"")</f>
        <v/>
      </c>
      <c r="K85" s="11">
        <f>IFERROR(IF('入力シート'!$A85="","",IF(H85&gt;='設定'!$B$4,"OK",IF(H85&gt;='設定'!$B$5,"注意","要改善"))),"")</f>
        <v/>
      </c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</row>
    <row r="86" ht="26.75" customHeight="1">
      <c r="A86" s="11">
        <f>IFERROR(IF('入力シート'!$A86="","",'入力シート'!A86),"")</f>
        <v/>
      </c>
      <c r="B86" s="11">
        <f>IFERROR(IF('入力シート'!$A86="","",'入力シート'!B86),"")</f>
        <v/>
      </c>
      <c r="C86" s="11">
        <f>IFERROR(IF('入力シート'!$A86="","",'入力シート'!C86),"")</f>
        <v/>
      </c>
      <c r="D86" s="11">
        <f>IFERROR(IF('入力シート'!$A86="","",'入力シート'!D86),"")</f>
        <v/>
      </c>
      <c r="E86" s="3">
        <f>IFERROR(IF('入力シート'!$A86="","",'入力シート'!I86),"")</f>
        <v/>
      </c>
      <c r="F86" s="3">
        <f>IFERROR(IF('入力シート'!$A86="","",'入力シート'!N86),"")</f>
        <v/>
      </c>
      <c r="G86" s="3">
        <f>IFERROR(IF('入力シート'!$A86="","",'入力シート'!O86),"")</f>
        <v/>
      </c>
      <c r="H86" s="17">
        <f>IFERROR(IF('入力シート'!$A86="","",'入力シート'!P86),"")</f>
        <v/>
      </c>
      <c r="I86" s="11">
        <f>IFERROR(IF('入力シート'!$A86="","",'入力シート'!Q86),"")</f>
        <v/>
      </c>
      <c r="J86" s="11">
        <f>IFERROR(IF('入力シート'!$A86="","",'入力シート'!R86),"")</f>
        <v/>
      </c>
      <c r="K86" s="11">
        <f>IFERROR(IF('入力シート'!$A86="","",IF(H86&gt;='設定'!$B$4,"OK",IF(H86&gt;='設定'!$B$5,"注意","要改善"))),"")</f>
        <v/>
      </c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</row>
    <row r="87" ht="26.75" customHeight="1">
      <c r="A87" s="11">
        <f>IFERROR(IF('入力シート'!$A87="","",'入力シート'!A87),"")</f>
        <v/>
      </c>
      <c r="B87" s="11">
        <f>IFERROR(IF('入力シート'!$A87="","",'入力シート'!B87),"")</f>
        <v/>
      </c>
      <c r="C87" s="11">
        <f>IFERROR(IF('入力シート'!$A87="","",'入力シート'!C87),"")</f>
        <v/>
      </c>
      <c r="D87" s="11">
        <f>IFERROR(IF('入力シート'!$A87="","",'入力シート'!D87),"")</f>
        <v/>
      </c>
      <c r="E87" s="3">
        <f>IFERROR(IF('入力シート'!$A87="","",'入力シート'!I87),"")</f>
        <v/>
      </c>
      <c r="F87" s="3">
        <f>IFERROR(IF('入力シート'!$A87="","",'入力シート'!N87),"")</f>
        <v/>
      </c>
      <c r="G87" s="3">
        <f>IFERROR(IF('入力シート'!$A87="","",'入力シート'!O87),"")</f>
        <v/>
      </c>
      <c r="H87" s="17">
        <f>IFERROR(IF('入力シート'!$A87="","",'入力シート'!P87),"")</f>
        <v/>
      </c>
      <c r="I87" s="11">
        <f>IFERROR(IF('入力シート'!$A87="","",'入力シート'!Q87),"")</f>
        <v/>
      </c>
      <c r="J87" s="11">
        <f>IFERROR(IF('入力シート'!$A87="","",'入力シート'!R87),"")</f>
        <v/>
      </c>
      <c r="K87" s="11">
        <f>IFERROR(IF('入力シート'!$A87="","",IF(H87&gt;='設定'!$B$4,"OK",IF(H87&gt;='設定'!$B$5,"注意","要改善"))),"")</f>
        <v/>
      </c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</row>
    <row r="88" ht="26.75" customHeight="1">
      <c r="A88" s="11">
        <f>IFERROR(IF('入力シート'!$A88="","",'入力シート'!A88),"")</f>
        <v/>
      </c>
      <c r="B88" s="11">
        <f>IFERROR(IF('入力シート'!$A88="","",'入力シート'!B88),"")</f>
        <v/>
      </c>
      <c r="C88" s="11">
        <f>IFERROR(IF('入力シート'!$A88="","",'入力シート'!C88),"")</f>
        <v/>
      </c>
      <c r="D88" s="11">
        <f>IFERROR(IF('入力シート'!$A88="","",'入力シート'!D88),"")</f>
        <v/>
      </c>
      <c r="E88" s="3">
        <f>IFERROR(IF('入力シート'!$A88="","",'入力シート'!I88),"")</f>
        <v/>
      </c>
      <c r="F88" s="3">
        <f>IFERROR(IF('入力シート'!$A88="","",'入力シート'!N88),"")</f>
        <v/>
      </c>
      <c r="G88" s="3">
        <f>IFERROR(IF('入力シート'!$A88="","",'入力シート'!O88),"")</f>
        <v/>
      </c>
      <c r="H88" s="17">
        <f>IFERROR(IF('入力シート'!$A88="","",'入力シート'!P88),"")</f>
        <v/>
      </c>
      <c r="I88" s="11">
        <f>IFERROR(IF('入力シート'!$A88="","",'入力シート'!Q88),"")</f>
        <v/>
      </c>
      <c r="J88" s="11">
        <f>IFERROR(IF('入力シート'!$A88="","",'入力シート'!R88),"")</f>
        <v/>
      </c>
      <c r="K88" s="11">
        <f>IFERROR(IF('入力シート'!$A88="","",IF(H88&gt;='設定'!$B$4,"OK",IF(H88&gt;='設定'!$B$5,"注意","要改善"))),"")</f>
        <v/>
      </c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</row>
    <row r="89" ht="26.75" customHeight="1">
      <c r="A89" s="11">
        <f>IFERROR(IF('入力シート'!$A89="","",'入力シート'!A89),"")</f>
        <v/>
      </c>
      <c r="B89" s="11">
        <f>IFERROR(IF('入力シート'!$A89="","",'入力シート'!B89),"")</f>
        <v/>
      </c>
      <c r="C89" s="11">
        <f>IFERROR(IF('入力シート'!$A89="","",'入力シート'!C89),"")</f>
        <v/>
      </c>
      <c r="D89" s="11">
        <f>IFERROR(IF('入力シート'!$A89="","",'入力シート'!D89),"")</f>
        <v/>
      </c>
      <c r="E89" s="3">
        <f>IFERROR(IF('入力シート'!$A89="","",'入力シート'!I89),"")</f>
        <v/>
      </c>
      <c r="F89" s="3">
        <f>IFERROR(IF('入力シート'!$A89="","",'入力シート'!N89),"")</f>
        <v/>
      </c>
      <c r="G89" s="3">
        <f>IFERROR(IF('入力シート'!$A89="","",'入力シート'!O89),"")</f>
        <v/>
      </c>
      <c r="H89" s="17">
        <f>IFERROR(IF('入力シート'!$A89="","",'入力シート'!P89),"")</f>
        <v/>
      </c>
      <c r="I89" s="11">
        <f>IFERROR(IF('入力シート'!$A89="","",'入力シート'!Q89),"")</f>
        <v/>
      </c>
      <c r="J89" s="11">
        <f>IFERROR(IF('入力シート'!$A89="","",'入力シート'!R89),"")</f>
        <v/>
      </c>
      <c r="K89" s="11">
        <f>IFERROR(IF('入力シート'!$A89="","",IF(H89&gt;='設定'!$B$4,"OK",IF(H89&gt;='設定'!$B$5,"注意","要改善"))),"")</f>
        <v/>
      </c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</row>
    <row r="90" ht="26.75" customHeight="1">
      <c r="A90" s="11">
        <f>IFERROR(IF('入力シート'!$A90="","",'入力シート'!A90),"")</f>
        <v/>
      </c>
      <c r="B90" s="11">
        <f>IFERROR(IF('入力シート'!$A90="","",'入力シート'!B90),"")</f>
        <v/>
      </c>
      <c r="C90" s="11">
        <f>IFERROR(IF('入力シート'!$A90="","",'入力シート'!C90),"")</f>
        <v/>
      </c>
      <c r="D90" s="11">
        <f>IFERROR(IF('入力シート'!$A90="","",'入力シート'!D90),"")</f>
        <v/>
      </c>
      <c r="E90" s="3">
        <f>IFERROR(IF('入力シート'!$A90="","",'入力シート'!I90),"")</f>
        <v/>
      </c>
      <c r="F90" s="3">
        <f>IFERROR(IF('入力シート'!$A90="","",'入力シート'!N90),"")</f>
        <v/>
      </c>
      <c r="G90" s="3">
        <f>IFERROR(IF('入力シート'!$A90="","",'入力シート'!O90),"")</f>
        <v/>
      </c>
      <c r="H90" s="17">
        <f>IFERROR(IF('入力シート'!$A90="","",'入力シート'!P90),"")</f>
        <v/>
      </c>
      <c r="I90" s="11">
        <f>IFERROR(IF('入力シート'!$A90="","",'入力シート'!Q90),"")</f>
        <v/>
      </c>
      <c r="J90" s="11">
        <f>IFERROR(IF('入力シート'!$A90="","",'入力シート'!R90),"")</f>
        <v/>
      </c>
      <c r="K90" s="11">
        <f>IFERROR(IF('入力シート'!$A90="","",IF(H90&gt;='設定'!$B$4,"OK",IF(H90&gt;='設定'!$B$5,"注意","要改善"))),"")</f>
        <v/>
      </c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</row>
    <row r="91" ht="26.75" customHeight="1">
      <c r="A91" s="11">
        <f>IFERROR(IF('入力シート'!$A91="","",'入力シート'!A91),"")</f>
        <v/>
      </c>
      <c r="B91" s="11">
        <f>IFERROR(IF('入力シート'!$A91="","",'入力シート'!B91),"")</f>
        <v/>
      </c>
      <c r="C91" s="11">
        <f>IFERROR(IF('入力シート'!$A91="","",'入力シート'!C91),"")</f>
        <v/>
      </c>
      <c r="D91" s="11">
        <f>IFERROR(IF('入力シート'!$A91="","",'入力シート'!D91),"")</f>
        <v/>
      </c>
      <c r="E91" s="3">
        <f>IFERROR(IF('入力シート'!$A91="","",'入力シート'!I91),"")</f>
        <v/>
      </c>
      <c r="F91" s="3">
        <f>IFERROR(IF('入力シート'!$A91="","",'入力シート'!N91),"")</f>
        <v/>
      </c>
      <c r="G91" s="3">
        <f>IFERROR(IF('入力シート'!$A91="","",'入力シート'!O91),"")</f>
        <v/>
      </c>
      <c r="H91" s="17">
        <f>IFERROR(IF('入力シート'!$A91="","",'入力シート'!P91),"")</f>
        <v/>
      </c>
      <c r="I91" s="11">
        <f>IFERROR(IF('入力シート'!$A91="","",'入力シート'!Q91),"")</f>
        <v/>
      </c>
      <c r="J91" s="11">
        <f>IFERROR(IF('入力シート'!$A91="","",'入力シート'!R91),"")</f>
        <v/>
      </c>
      <c r="K91" s="11">
        <f>IFERROR(IF('入力シート'!$A91="","",IF(H91&gt;='設定'!$B$4,"OK",IF(H91&gt;='設定'!$B$5,"注意","要改善"))),"")</f>
        <v/>
      </c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</row>
    <row r="92" ht="26.75" customHeight="1">
      <c r="A92" s="11">
        <f>IFERROR(IF('入力シート'!$A92="","",'入力シート'!A92),"")</f>
        <v/>
      </c>
      <c r="B92" s="11">
        <f>IFERROR(IF('入力シート'!$A92="","",'入力シート'!B92),"")</f>
        <v/>
      </c>
      <c r="C92" s="11">
        <f>IFERROR(IF('入力シート'!$A92="","",'入力シート'!C92),"")</f>
        <v/>
      </c>
      <c r="D92" s="11">
        <f>IFERROR(IF('入力シート'!$A92="","",'入力シート'!D92),"")</f>
        <v/>
      </c>
      <c r="E92" s="3">
        <f>IFERROR(IF('入力シート'!$A92="","",'入力シート'!I92),"")</f>
        <v/>
      </c>
      <c r="F92" s="3">
        <f>IFERROR(IF('入力シート'!$A92="","",'入力シート'!N92),"")</f>
        <v/>
      </c>
      <c r="G92" s="3">
        <f>IFERROR(IF('入力シート'!$A92="","",'入力シート'!O92),"")</f>
        <v/>
      </c>
      <c r="H92" s="17">
        <f>IFERROR(IF('入力シート'!$A92="","",'入力シート'!P92),"")</f>
        <v/>
      </c>
      <c r="I92" s="11">
        <f>IFERROR(IF('入力シート'!$A92="","",'入力シート'!Q92),"")</f>
        <v/>
      </c>
      <c r="J92" s="11">
        <f>IFERROR(IF('入力シート'!$A92="","",'入力シート'!R92),"")</f>
        <v/>
      </c>
      <c r="K92" s="11">
        <f>IFERROR(IF('入力シート'!$A92="","",IF(H92&gt;='設定'!$B$4,"OK",IF(H92&gt;='設定'!$B$5,"注意","要改善"))),"")</f>
        <v/>
      </c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</row>
    <row r="93" ht="26.75" customHeight="1">
      <c r="A93" s="11">
        <f>IFERROR(IF('入力シート'!$A93="","",'入力シート'!A93),"")</f>
        <v/>
      </c>
      <c r="B93" s="11">
        <f>IFERROR(IF('入力シート'!$A93="","",'入力シート'!B93),"")</f>
        <v/>
      </c>
      <c r="C93" s="11">
        <f>IFERROR(IF('入力シート'!$A93="","",'入力シート'!C93),"")</f>
        <v/>
      </c>
      <c r="D93" s="11">
        <f>IFERROR(IF('入力シート'!$A93="","",'入力シート'!D93),"")</f>
        <v/>
      </c>
      <c r="E93" s="3">
        <f>IFERROR(IF('入力シート'!$A93="","",'入力シート'!I93),"")</f>
        <v/>
      </c>
      <c r="F93" s="3">
        <f>IFERROR(IF('入力シート'!$A93="","",'入力シート'!N93),"")</f>
        <v/>
      </c>
      <c r="G93" s="3">
        <f>IFERROR(IF('入力シート'!$A93="","",'入力シート'!O93),"")</f>
        <v/>
      </c>
      <c r="H93" s="17">
        <f>IFERROR(IF('入力シート'!$A93="","",'入力シート'!P93),"")</f>
        <v/>
      </c>
      <c r="I93" s="11">
        <f>IFERROR(IF('入力シート'!$A93="","",'入力シート'!Q93),"")</f>
        <v/>
      </c>
      <c r="J93" s="11">
        <f>IFERROR(IF('入力シート'!$A93="","",'入力シート'!R93),"")</f>
        <v/>
      </c>
      <c r="K93" s="11">
        <f>IFERROR(IF('入力シート'!$A93="","",IF(H93&gt;='設定'!$B$4,"OK",IF(H93&gt;='設定'!$B$5,"注意","要改善"))),"")</f>
        <v/>
      </c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</row>
    <row r="94" ht="26.75" customHeight="1">
      <c r="A94" s="11">
        <f>IFERROR(IF('入力シート'!$A94="","",'入力シート'!A94),"")</f>
        <v/>
      </c>
      <c r="B94" s="11">
        <f>IFERROR(IF('入力シート'!$A94="","",'入力シート'!B94),"")</f>
        <v/>
      </c>
      <c r="C94" s="11">
        <f>IFERROR(IF('入力シート'!$A94="","",'入力シート'!C94),"")</f>
        <v/>
      </c>
      <c r="D94" s="11">
        <f>IFERROR(IF('入力シート'!$A94="","",'入力シート'!D94),"")</f>
        <v/>
      </c>
      <c r="E94" s="3">
        <f>IFERROR(IF('入力シート'!$A94="","",'入力シート'!I94),"")</f>
        <v/>
      </c>
      <c r="F94" s="3">
        <f>IFERROR(IF('入力シート'!$A94="","",'入力シート'!N94),"")</f>
        <v/>
      </c>
      <c r="G94" s="3">
        <f>IFERROR(IF('入力シート'!$A94="","",'入力シート'!O94),"")</f>
        <v/>
      </c>
      <c r="H94" s="17">
        <f>IFERROR(IF('入力シート'!$A94="","",'入力シート'!P94),"")</f>
        <v/>
      </c>
      <c r="I94" s="11">
        <f>IFERROR(IF('入力シート'!$A94="","",'入力シート'!Q94),"")</f>
        <v/>
      </c>
      <c r="J94" s="11">
        <f>IFERROR(IF('入力シート'!$A94="","",'入力シート'!R94),"")</f>
        <v/>
      </c>
      <c r="K94" s="11">
        <f>IFERROR(IF('入力シート'!$A94="","",IF(H94&gt;='設定'!$B$4,"OK",IF(H94&gt;='設定'!$B$5,"注意","要改善"))),"")</f>
        <v/>
      </c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</row>
    <row r="95" ht="26.75" customHeight="1">
      <c r="A95" s="11">
        <f>IFERROR(IF('入力シート'!$A95="","",'入力シート'!A95),"")</f>
        <v/>
      </c>
      <c r="B95" s="11">
        <f>IFERROR(IF('入力シート'!$A95="","",'入力シート'!B95),"")</f>
        <v/>
      </c>
      <c r="C95" s="11">
        <f>IFERROR(IF('入力シート'!$A95="","",'入力シート'!C95),"")</f>
        <v/>
      </c>
      <c r="D95" s="11">
        <f>IFERROR(IF('入力シート'!$A95="","",'入力シート'!D95),"")</f>
        <v/>
      </c>
      <c r="E95" s="3">
        <f>IFERROR(IF('入力シート'!$A95="","",'入力シート'!I95),"")</f>
        <v/>
      </c>
      <c r="F95" s="3">
        <f>IFERROR(IF('入力シート'!$A95="","",'入力シート'!N95),"")</f>
        <v/>
      </c>
      <c r="G95" s="3">
        <f>IFERROR(IF('入力シート'!$A95="","",'入力シート'!O95),"")</f>
        <v/>
      </c>
      <c r="H95" s="17">
        <f>IFERROR(IF('入力シート'!$A95="","",'入力シート'!P95),"")</f>
        <v/>
      </c>
      <c r="I95" s="11">
        <f>IFERROR(IF('入力シート'!$A95="","",'入力シート'!Q95),"")</f>
        <v/>
      </c>
      <c r="J95" s="11">
        <f>IFERROR(IF('入力シート'!$A95="","",'入力シート'!R95),"")</f>
        <v/>
      </c>
      <c r="K95" s="11">
        <f>IFERROR(IF('入力シート'!$A95="","",IF(H95&gt;='設定'!$B$4,"OK",IF(H95&gt;='設定'!$B$5,"注意","要改善"))),"")</f>
        <v/>
      </c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</row>
    <row r="96" ht="26.75" customHeight="1">
      <c r="A96" s="11">
        <f>IFERROR(IF('入力シート'!$A96="","",'入力シート'!A96),"")</f>
        <v/>
      </c>
      <c r="B96" s="11">
        <f>IFERROR(IF('入力シート'!$A96="","",'入力シート'!B96),"")</f>
        <v/>
      </c>
      <c r="C96" s="11">
        <f>IFERROR(IF('入力シート'!$A96="","",'入力シート'!C96),"")</f>
        <v/>
      </c>
      <c r="D96" s="11">
        <f>IFERROR(IF('入力シート'!$A96="","",'入力シート'!D96),"")</f>
        <v/>
      </c>
      <c r="E96" s="3">
        <f>IFERROR(IF('入力シート'!$A96="","",'入力シート'!I96),"")</f>
        <v/>
      </c>
      <c r="F96" s="3">
        <f>IFERROR(IF('入力シート'!$A96="","",'入力シート'!N96),"")</f>
        <v/>
      </c>
      <c r="G96" s="3">
        <f>IFERROR(IF('入力シート'!$A96="","",'入力シート'!O96),"")</f>
        <v/>
      </c>
      <c r="H96" s="17">
        <f>IFERROR(IF('入力シート'!$A96="","",'入力シート'!P96),"")</f>
        <v/>
      </c>
      <c r="I96" s="11">
        <f>IFERROR(IF('入力シート'!$A96="","",'入力シート'!Q96),"")</f>
        <v/>
      </c>
      <c r="J96" s="11">
        <f>IFERROR(IF('入力シート'!$A96="","",'入力シート'!R96),"")</f>
        <v/>
      </c>
      <c r="K96" s="11">
        <f>IFERROR(IF('入力シート'!$A96="","",IF(H96&gt;='設定'!$B$4,"OK",IF(H96&gt;='設定'!$B$5,"注意","要改善"))),"")</f>
        <v/>
      </c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</row>
    <row r="97" ht="26.75" customHeight="1">
      <c r="A97" s="11">
        <f>IFERROR(IF('入力シート'!$A97="","",'入力シート'!A97),"")</f>
        <v/>
      </c>
      <c r="B97" s="11">
        <f>IFERROR(IF('入力シート'!$A97="","",'入力シート'!B97),"")</f>
        <v/>
      </c>
      <c r="C97" s="11">
        <f>IFERROR(IF('入力シート'!$A97="","",'入力シート'!C97),"")</f>
        <v/>
      </c>
      <c r="D97" s="11">
        <f>IFERROR(IF('入力シート'!$A97="","",'入力シート'!D97),"")</f>
        <v/>
      </c>
      <c r="E97" s="3">
        <f>IFERROR(IF('入力シート'!$A97="","",'入力シート'!I97),"")</f>
        <v/>
      </c>
      <c r="F97" s="3">
        <f>IFERROR(IF('入力シート'!$A97="","",'入力シート'!N97),"")</f>
        <v/>
      </c>
      <c r="G97" s="3">
        <f>IFERROR(IF('入力シート'!$A97="","",'入力シート'!O97),"")</f>
        <v/>
      </c>
      <c r="H97" s="17">
        <f>IFERROR(IF('入力シート'!$A97="","",'入力シート'!P97),"")</f>
        <v/>
      </c>
      <c r="I97" s="11">
        <f>IFERROR(IF('入力シート'!$A97="","",'入力シート'!Q97),"")</f>
        <v/>
      </c>
      <c r="J97" s="11">
        <f>IFERROR(IF('入力シート'!$A97="","",'入力シート'!R97),"")</f>
        <v/>
      </c>
      <c r="K97" s="11">
        <f>IFERROR(IF('入力シート'!$A97="","",IF(H97&gt;='設定'!$B$4,"OK",IF(H97&gt;='設定'!$B$5,"注意","要改善"))),"")</f>
        <v/>
      </c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</row>
    <row r="98" ht="26.75" customHeight="1">
      <c r="A98" s="11">
        <f>IFERROR(IF('入力シート'!$A98="","",'入力シート'!A98),"")</f>
        <v/>
      </c>
      <c r="B98" s="11">
        <f>IFERROR(IF('入力シート'!$A98="","",'入力シート'!B98),"")</f>
        <v/>
      </c>
      <c r="C98" s="11">
        <f>IFERROR(IF('入力シート'!$A98="","",'入力シート'!C98),"")</f>
        <v/>
      </c>
      <c r="D98" s="11">
        <f>IFERROR(IF('入力シート'!$A98="","",'入力シート'!D98),"")</f>
        <v/>
      </c>
      <c r="E98" s="3">
        <f>IFERROR(IF('入力シート'!$A98="","",'入力シート'!I98),"")</f>
        <v/>
      </c>
      <c r="F98" s="3">
        <f>IFERROR(IF('入力シート'!$A98="","",'入力シート'!N98),"")</f>
        <v/>
      </c>
      <c r="G98" s="3">
        <f>IFERROR(IF('入力シート'!$A98="","",'入力シート'!O98),"")</f>
        <v/>
      </c>
      <c r="H98" s="17">
        <f>IFERROR(IF('入力シート'!$A98="","",'入力シート'!P98),"")</f>
        <v/>
      </c>
      <c r="I98" s="11">
        <f>IFERROR(IF('入力シート'!$A98="","",'入力シート'!Q98),"")</f>
        <v/>
      </c>
      <c r="J98" s="11">
        <f>IFERROR(IF('入力シート'!$A98="","",'入力シート'!R98),"")</f>
        <v/>
      </c>
      <c r="K98" s="11">
        <f>IFERROR(IF('入力シート'!$A98="","",IF(H98&gt;='設定'!$B$4,"OK",IF(H98&gt;='設定'!$B$5,"注意","要改善"))),"")</f>
        <v/>
      </c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</row>
    <row r="99" ht="26.75" customHeight="1">
      <c r="A99" s="11">
        <f>IFERROR(IF('入力シート'!$A99="","",'入力シート'!A99),"")</f>
        <v/>
      </c>
      <c r="B99" s="11">
        <f>IFERROR(IF('入力シート'!$A99="","",'入力シート'!B99),"")</f>
        <v/>
      </c>
      <c r="C99" s="11">
        <f>IFERROR(IF('入力シート'!$A99="","",'入力シート'!C99),"")</f>
        <v/>
      </c>
      <c r="D99" s="11">
        <f>IFERROR(IF('入力シート'!$A99="","",'入力シート'!D99),"")</f>
        <v/>
      </c>
      <c r="E99" s="3">
        <f>IFERROR(IF('入力シート'!$A99="","",'入力シート'!I99),"")</f>
        <v/>
      </c>
      <c r="F99" s="3">
        <f>IFERROR(IF('入力シート'!$A99="","",'入力シート'!N99),"")</f>
        <v/>
      </c>
      <c r="G99" s="3">
        <f>IFERROR(IF('入力シート'!$A99="","",'入力シート'!O99),"")</f>
        <v/>
      </c>
      <c r="H99" s="17">
        <f>IFERROR(IF('入力シート'!$A99="","",'入力シート'!P99),"")</f>
        <v/>
      </c>
      <c r="I99" s="11">
        <f>IFERROR(IF('入力シート'!$A99="","",'入力シート'!Q99),"")</f>
        <v/>
      </c>
      <c r="J99" s="11">
        <f>IFERROR(IF('入力シート'!$A99="","",'入力シート'!R99),"")</f>
        <v/>
      </c>
      <c r="K99" s="11">
        <f>IFERROR(IF('入力シート'!$A99="","",IF(H99&gt;='設定'!$B$4,"OK",IF(H99&gt;='設定'!$B$5,"注意","要改善"))),"")</f>
        <v/>
      </c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</row>
    <row r="100" ht="26.75" customHeight="1">
      <c r="A100" s="11">
        <f>IFERROR(IF('入力シート'!$A100="","",'入力シート'!A100),"")</f>
        <v/>
      </c>
      <c r="B100" s="11">
        <f>IFERROR(IF('入力シート'!$A100="","",'入力シート'!B100),"")</f>
        <v/>
      </c>
      <c r="C100" s="11">
        <f>IFERROR(IF('入力シート'!$A100="","",'入力シート'!C100),"")</f>
        <v/>
      </c>
      <c r="D100" s="11">
        <f>IFERROR(IF('入力シート'!$A100="","",'入力シート'!D100),"")</f>
        <v/>
      </c>
      <c r="E100" s="3">
        <f>IFERROR(IF('入力シート'!$A100="","",'入力シート'!I100),"")</f>
        <v/>
      </c>
      <c r="F100" s="3">
        <f>IFERROR(IF('入力シート'!$A100="","",'入力シート'!N100),"")</f>
        <v/>
      </c>
      <c r="G100" s="3">
        <f>IFERROR(IF('入力シート'!$A100="","",'入力シート'!O100),"")</f>
        <v/>
      </c>
      <c r="H100" s="17">
        <f>IFERROR(IF('入力シート'!$A100="","",'入力シート'!P100),"")</f>
        <v/>
      </c>
      <c r="I100" s="11">
        <f>IFERROR(IF('入力シート'!$A100="","",'入力シート'!Q100),"")</f>
        <v/>
      </c>
      <c r="J100" s="11">
        <f>IFERROR(IF('入力シート'!$A100="","",'入力シート'!R100),"")</f>
        <v/>
      </c>
      <c r="K100" s="11">
        <f>IFERROR(IF('入力シート'!$A100="","",IF(H100&gt;='設定'!$B$4,"OK",IF(H100&gt;='設定'!$B$5,"注意","要改善"))),"")</f>
        <v/>
      </c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</row>
    <row r="101" ht="26.75" customHeight="1">
      <c r="A101" s="11">
        <f>IFERROR(IF('入力シート'!$A101="","",'入力シート'!A101),"")</f>
        <v/>
      </c>
      <c r="B101" s="11">
        <f>IFERROR(IF('入力シート'!$A101="","",'入力シート'!B101),"")</f>
        <v/>
      </c>
      <c r="C101" s="11">
        <f>IFERROR(IF('入力シート'!$A101="","",'入力シート'!C101),"")</f>
        <v/>
      </c>
      <c r="D101" s="11">
        <f>IFERROR(IF('入力シート'!$A101="","",'入力シート'!D101),"")</f>
        <v/>
      </c>
      <c r="E101" s="3">
        <f>IFERROR(IF('入力シート'!$A101="","",'入力シート'!I101),"")</f>
        <v/>
      </c>
      <c r="F101" s="3">
        <f>IFERROR(IF('入力シート'!$A101="","",'入力シート'!N101),"")</f>
        <v/>
      </c>
      <c r="G101" s="3">
        <f>IFERROR(IF('入力シート'!$A101="","",'入力シート'!O101),"")</f>
        <v/>
      </c>
      <c r="H101" s="17">
        <f>IFERROR(IF('入力シート'!$A101="","",'入力シート'!P101),"")</f>
        <v/>
      </c>
      <c r="I101" s="11">
        <f>IFERROR(IF('入力シート'!$A101="","",'入力シート'!Q101),"")</f>
        <v/>
      </c>
      <c r="J101" s="11">
        <f>IFERROR(IF('入力シート'!$A101="","",'入力シート'!R101),"")</f>
        <v/>
      </c>
      <c r="K101" s="11">
        <f>IFERROR(IF('入力シート'!$A101="","",IF(H101&gt;='設定'!$B$4,"OK",IF(H101&gt;='設定'!$B$5,"注意","要改善"))),"")</f>
        <v/>
      </c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</row>
    <row r="102" ht="26.75" customHeight="1">
      <c r="A102" s="11">
        <f>IFERROR(IF('入力シート'!$A102="","",'入力シート'!A102),"")</f>
        <v/>
      </c>
      <c r="B102" s="11">
        <f>IFERROR(IF('入力シート'!$A102="","",'入力シート'!B102),"")</f>
        <v/>
      </c>
      <c r="C102" s="11">
        <f>IFERROR(IF('入力シート'!$A102="","",'入力シート'!C102),"")</f>
        <v/>
      </c>
      <c r="D102" s="11">
        <f>IFERROR(IF('入力シート'!$A102="","",'入力シート'!D102),"")</f>
        <v/>
      </c>
      <c r="E102" s="3">
        <f>IFERROR(IF('入力シート'!$A102="","",'入力シート'!I102),"")</f>
        <v/>
      </c>
      <c r="F102" s="3">
        <f>IFERROR(IF('入力シート'!$A102="","",'入力シート'!N102),"")</f>
        <v/>
      </c>
      <c r="G102" s="3">
        <f>IFERROR(IF('入力シート'!$A102="","",'入力シート'!O102),"")</f>
        <v/>
      </c>
      <c r="H102" s="17">
        <f>IFERROR(IF('入力シート'!$A102="","",'入力シート'!P102),"")</f>
        <v/>
      </c>
      <c r="I102" s="11">
        <f>IFERROR(IF('入力シート'!$A102="","",'入力シート'!Q102),"")</f>
        <v/>
      </c>
      <c r="J102" s="11">
        <f>IFERROR(IF('入力シート'!$A102="","",'入力シート'!R102),"")</f>
        <v/>
      </c>
      <c r="K102" s="11">
        <f>IFERROR(IF('入力シート'!$A102="","",IF(H102&gt;='設定'!$B$4,"OK",IF(H102&gt;='設定'!$B$5,"注意","要改善"))),"")</f>
        <v/>
      </c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</row>
    <row r="103" ht="26.75" customHeight="1">
      <c r="A103" s="11">
        <f>IFERROR(IF('入力シート'!$A103="","",'入力シート'!A103),"")</f>
        <v/>
      </c>
      <c r="B103" s="11">
        <f>IFERROR(IF('入力シート'!$A103="","",'入力シート'!B103),"")</f>
        <v/>
      </c>
      <c r="C103" s="11">
        <f>IFERROR(IF('入力シート'!$A103="","",'入力シート'!C103),"")</f>
        <v/>
      </c>
      <c r="D103" s="11">
        <f>IFERROR(IF('入力シート'!$A103="","",'入力シート'!D103),"")</f>
        <v/>
      </c>
      <c r="E103" s="3">
        <f>IFERROR(IF('入力シート'!$A103="","",'入力シート'!I103),"")</f>
        <v/>
      </c>
      <c r="F103" s="3">
        <f>IFERROR(IF('入力シート'!$A103="","",'入力シート'!N103),"")</f>
        <v/>
      </c>
      <c r="G103" s="3">
        <f>IFERROR(IF('入力シート'!$A103="","",'入力シート'!O103),"")</f>
        <v/>
      </c>
      <c r="H103" s="17">
        <f>IFERROR(IF('入力シート'!$A103="","",'入力シート'!P103),"")</f>
        <v/>
      </c>
      <c r="I103" s="11">
        <f>IFERROR(IF('入力シート'!$A103="","",'入力シート'!Q103),"")</f>
        <v/>
      </c>
      <c r="J103" s="11">
        <f>IFERROR(IF('入力シート'!$A103="","",'入力シート'!R103),"")</f>
        <v/>
      </c>
      <c r="K103" s="11">
        <f>IFERROR(IF('入力シート'!$A103="","",IF(H103&gt;='設定'!$B$4,"OK",IF(H103&gt;='設定'!$B$5,"注意","要改善"))),"")</f>
        <v/>
      </c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</row>
    <row r="104" ht="26.75" customHeight="1">
      <c r="A104" s="11">
        <f>IFERROR(IF('入力シート'!$A104="","",'入力シート'!A104),"")</f>
        <v/>
      </c>
      <c r="B104" s="11">
        <f>IFERROR(IF('入力シート'!$A104="","",'入力シート'!B104),"")</f>
        <v/>
      </c>
      <c r="C104" s="11">
        <f>IFERROR(IF('入力シート'!$A104="","",'入力シート'!C104),"")</f>
        <v/>
      </c>
      <c r="D104" s="11">
        <f>IFERROR(IF('入力シート'!$A104="","",'入力シート'!D104),"")</f>
        <v/>
      </c>
      <c r="E104" s="3">
        <f>IFERROR(IF('入力シート'!$A104="","",'入力シート'!I104),"")</f>
        <v/>
      </c>
      <c r="F104" s="3">
        <f>IFERROR(IF('入力シート'!$A104="","",'入力シート'!N104),"")</f>
        <v/>
      </c>
      <c r="G104" s="3">
        <f>IFERROR(IF('入力シート'!$A104="","",'入力シート'!O104),"")</f>
        <v/>
      </c>
      <c r="H104" s="17">
        <f>IFERROR(IF('入力シート'!$A104="","",'入力シート'!P104),"")</f>
        <v/>
      </c>
      <c r="I104" s="11">
        <f>IFERROR(IF('入力シート'!$A104="","",'入力シート'!Q104),"")</f>
        <v/>
      </c>
      <c r="J104" s="11">
        <f>IFERROR(IF('入力シート'!$A104="","",'入力シート'!R104),"")</f>
        <v/>
      </c>
      <c r="K104" s="11">
        <f>IFERROR(IF('入力シート'!$A104="","",IF(H104&gt;='設定'!$B$4,"OK",IF(H104&gt;='設定'!$B$5,"注意","要改善"))),"")</f>
        <v/>
      </c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</row>
    <row r="105" ht="26.75" customHeight="1">
      <c r="A105" s="11">
        <f>IFERROR(IF('入力シート'!$A105="","",'入力シート'!A105),"")</f>
        <v/>
      </c>
      <c r="B105" s="11">
        <f>IFERROR(IF('入力シート'!$A105="","",'入力シート'!B105),"")</f>
        <v/>
      </c>
      <c r="C105" s="11">
        <f>IFERROR(IF('入力シート'!$A105="","",'入力シート'!C105),"")</f>
        <v/>
      </c>
      <c r="D105" s="11">
        <f>IFERROR(IF('入力シート'!$A105="","",'入力シート'!D105),"")</f>
        <v/>
      </c>
      <c r="E105" s="3">
        <f>IFERROR(IF('入力シート'!$A105="","",'入力シート'!I105),"")</f>
        <v/>
      </c>
      <c r="F105" s="3">
        <f>IFERROR(IF('入力シート'!$A105="","",'入力シート'!N105),"")</f>
        <v/>
      </c>
      <c r="G105" s="3">
        <f>IFERROR(IF('入力シート'!$A105="","",'入力シート'!O105),"")</f>
        <v/>
      </c>
      <c r="H105" s="17">
        <f>IFERROR(IF('入力シート'!$A105="","",'入力シート'!P105),"")</f>
        <v/>
      </c>
      <c r="I105" s="11">
        <f>IFERROR(IF('入力シート'!$A105="","",'入力シート'!Q105),"")</f>
        <v/>
      </c>
      <c r="J105" s="11">
        <f>IFERROR(IF('入力シート'!$A105="","",'入力シート'!R105),"")</f>
        <v/>
      </c>
      <c r="K105" s="11">
        <f>IFERROR(IF('入力シート'!$A105="","",IF(H105&gt;='設定'!$B$4,"OK",IF(H105&gt;='設定'!$B$5,"注意","要改善"))),"")</f>
        <v/>
      </c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</row>
    <row r="106" ht="26.75" customHeight="1">
      <c r="A106" s="11">
        <f>IFERROR(IF('入力シート'!$A106="","",'入力シート'!A106),"")</f>
        <v/>
      </c>
      <c r="B106" s="11">
        <f>IFERROR(IF('入力シート'!$A106="","",'入力シート'!B106),"")</f>
        <v/>
      </c>
      <c r="C106" s="11">
        <f>IFERROR(IF('入力シート'!$A106="","",'入力シート'!C106),"")</f>
        <v/>
      </c>
      <c r="D106" s="11">
        <f>IFERROR(IF('入力シート'!$A106="","",'入力シート'!D106),"")</f>
        <v/>
      </c>
      <c r="E106" s="3">
        <f>IFERROR(IF('入力シート'!$A106="","",'入力シート'!I106),"")</f>
        <v/>
      </c>
      <c r="F106" s="3">
        <f>IFERROR(IF('入力シート'!$A106="","",'入力シート'!N106),"")</f>
        <v/>
      </c>
      <c r="G106" s="3">
        <f>IFERROR(IF('入力シート'!$A106="","",'入力シート'!O106),"")</f>
        <v/>
      </c>
      <c r="H106" s="17">
        <f>IFERROR(IF('入力シート'!$A106="","",'入力シート'!P106),"")</f>
        <v/>
      </c>
      <c r="I106" s="11">
        <f>IFERROR(IF('入力シート'!$A106="","",'入力シート'!Q106),"")</f>
        <v/>
      </c>
      <c r="J106" s="11">
        <f>IFERROR(IF('入力シート'!$A106="","",'入力シート'!R106),"")</f>
        <v/>
      </c>
      <c r="K106" s="11">
        <f>IFERROR(IF('入力シート'!$A106="","",IF(H106&gt;='設定'!$B$4,"OK",IF(H106&gt;='設定'!$B$5,"注意","要改善"))),"")</f>
        <v/>
      </c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</row>
    <row r="107" ht="26.75" customHeight="1">
      <c r="A107" s="11">
        <f>IFERROR(IF('入力シート'!$A107="","",'入力シート'!A107),"")</f>
        <v/>
      </c>
      <c r="B107" s="11">
        <f>IFERROR(IF('入力シート'!$A107="","",'入力シート'!B107),"")</f>
        <v/>
      </c>
      <c r="C107" s="11">
        <f>IFERROR(IF('入力シート'!$A107="","",'入力シート'!C107),"")</f>
        <v/>
      </c>
      <c r="D107" s="11">
        <f>IFERROR(IF('入力シート'!$A107="","",'入力シート'!D107),"")</f>
        <v/>
      </c>
      <c r="E107" s="3">
        <f>IFERROR(IF('入力シート'!$A107="","",'入力シート'!I107),"")</f>
        <v/>
      </c>
      <c r="F107" s="3">
        <f>IFERROR(IF('入力シート'!$A107="","",'入力シート'!N107),"")</f>
        <v/>
      </c>
      <c r="G107" s="3">
        <f>IFERROR(IF('入力シート'!$A107="","",'入力シート'!O107),"")</f>
        <v/>
      </c>
      <c r="H107" s="17">
        <f>IFERROR(IF('入力シート'!$A107="","",'入力シート'!P107),"")</f>
        <v/>
      </c>
      <c r="I107" s="11">
        <f>IFERROR(IF('入力シート'!$A107="","",'入力シート'!Q107),"")</f>
        <v/>
      </c>
      <c r="J107" s="11">
        <f>IFERROR(IF('入力シート'!$A107="","",'入力シート'!R107),"")</f>
        <v/>
      </c>
      <c r="K107" s="11">
        <f>IFERROR(IF('入力シート'!$A107="","",IF(H107&gt;='設定'!$B$4,"OK",IF(H107&gt;='設定'!$B$5,"注意","要改善"))),"")</f>
        <v/>
      </c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</row>
    <row r="108" ht="26.75" customHeight="1">
      <c r="A108" s="11">
        <f>IFERROR(IF('入力シート'!$A108="","",'入力シート'!A108),"")</f>
        <v/>
      </c>
      <c r="B108" s="11">
        <f>IFERROR(IF('入力シート'!$A108="","",'入力シート'!B108),"")</f>
        <v/>
      </c>
      <c r="C108" s="11">
        <f>IFERROR(IF('入力シート'!$A108="","",'入力シート'!C108),"")</f>
        <v/>
      </c>
      <c r="D108" s="11">
        <f>IFERROR(IF('入力シート'!$A108="","",'入力シート'!D108),"")</f>
        <v/>
      </c>
      <c r="E108" s="3">
        <f>IFERROR(IF('入力シート'!$A108="","",'入力シート'!I108),"")</f>
        <v/>
      </c>
      <c r="F108" s="3">
        <f>IFERROR(IF('入力シート'!$A108="","",'入力シート'!N108),"")</f>
        <v/>
      </c>
      <c r="G108" s="3">
        <f>IFERROR(IF('入力シート'!$A108="","",'入力シート'!O108),"")</f>
        <v/>
      </c>
      <c r="H108" s="17">
        <f>IFERROR(IF('入力シート'!$A108="","",'入力シート'!P108),"")</f>
        <v/>
      </c>
      <c r="I108" s="11">
        <f>IFERROR(IF('入力シート'!$A108="","",'入力シート'!Q108),"")</f>
        <v/>
      </c>
      <c r="J108" s="11">
        <f>IFERROR(IF('入力シート'!$A108="","",'入力シート'!R108),"")</f>
        <v/>
      </c>
      <c r="K108" s="11">
        <f>IFERROR(IF('入力シート'!$A108="","",IF(H108&gt;='設定'!$B$4,"OK",IF(H108&gt;='設定'!$B$5,"注意","要改善"))),"")</f>
        <v/>
      </c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</row>
    <row r="109" ht="26.75" customHeight="1">
      <c r="A109" s="11">
        <f>IFERROR(IF('入力シート'!$A109="","",'入力シート'!A109),"")</f>
        <v/>
      </c>
      <c r="B109" s="11">
        <f>IFERROR(IF('入力シート'!$A109="","",'入力シート'!B109),"")</f>
        <v/>
      </c>
      <c r="C109" s="11">
        <f>IFERROR(IF('入力シート'!$A109="","",'入力シート'!C109),"")</f>
        <v/>
      </c>
      <c r="D109" s="11">
        <f>IFERROR(IF('入力シート'!$A109="","",'入力シート'!D109),"")</f>
        <v/>
      </c>
      <c r="E109" s="3">
        <f>IFERROR(IF('入力シート'!$A109="","",'入力シート'!I109),"")</f>
        <v/>
      </c>
      <c r="F109" s="3">
        <f>IFERROR(IF('入力シート'!$A109="","",'入力シート'!N109),"")</f>
        <v/>
      </c>
      <c r="G109" s="3">
        <f>IFERROR(IF('入力シート'!$A109="","",'入力シート'!O109),"")</f>
        <v/>
      </c>
      <c r="H109" s="17">
        <f>IFERROR(IF('入力シート'!$A109="","",'入力シート'!P109),"")</f>
        <v/>
      </c>
      <c r="I109" s="11">
        <f>IFERROR(IF('入力シート'!$A109="","",'入力シート'!Q109),"")</f>
        <v/>
      </c>
      <c r="J109" s="11">
        <f>IFERROR(IF('入力シート'!$A109="","",'入力シート'!R109),"")</f>
        <v/>
      </c>
      <c r="K109" s="11">
        <f>IFERROR(IF('入力シート'!$A109="","",IF(H109&gt;='設定'!$B$4,"OK",IF(H109&gt;='設定'!$B$5,"注意","要改善"))),"")</f>
        <v/>
      </c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</row>
    <row r="110" ht="26.75" customHeight="1">
      <c r="A110" s="11">
        <f>IFERROR(IF('入力シート'!$A110="","",'入力シート'!A110),"")</f>
        <v/>
      </c>
      <c r="B110" s="11">
        <f>IFERROR(IF('入力シート'!$A110="","",'入力シート'!B110),"")</f>
        <v/>
      </c>
      <c r="C110" s="11">
        <f>IFERROR(IF('入力シート'!$A110="","",'入力シート'!C110),"")</f>
        <v/>
      </c>
      <c r="D110" s="11">
        <f>IFERROR(IF('入力シート'!$A110="","",'入力シート'!D110),"")</f>
        <v/>
      </c>
      <c r="E110" s="3">
        <f>IFERROR(IF('入力シート'!$A110="","",'入力シート'!I110),"")</f>
        <v/>
      </c>
      <c r="F110" s="3">
        <f>IFERROR(IF('入力シート'!$A110="","",'入力シート'!N110),"")</f>
        <v/>
      </c>
      <c r="G110" s="3">
        <f>IFERROR(IF('入力シート'!$A110="","",'入力シート'!O110),"")</f>
        <v/>
      </c>
      <c r="H110" s="17">
        <f>IFERROR(IF('入力シート'!$A110="","",'入力シート'!P110),"")</f>
        <v/>
      </c>
      <c r="I110" s="11">
        <f>IFERROR(IF('入力シート'!$A110="","",'入力シート'!Q110),"")</f>
        <v/>
      </c>
      <c r="J110" s="11">
        <f>IFERROR(IF('入力シート'!$A110="","",'入力シート'!R110),"")</f>
        <v/>
      </c>
      <c r="K110" s="11">
        <f>IFERROR(IF('入力シート'!$A110="","",IF(H110&gt;='設定'!$B$4,"OK",IF(H110&gt;='設定'!$B$5,"注意","要改善"))),"")</f>
        <v/>
      </c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</row>
    <row r="111" ht="26.75" customHeight="1">
      <c r="A111" s="11">
        <f>IFERROR(IF('入力シート'!$A111="","",'入力シート'!A111),"")</f>
        <v/>
      </c>
      <c r="B111" s="11">
        <f>IFERROR(IF('入力シート'!$A111="","",'入力シート'!B111),"")</f>
        <v/>
      </c>
      <c r="C111" s="11">
        <f>IFERROR(IF('入力シート'!$A111="","",'入力シート'!C111),"")</f>
        <v/>
      </c>
      <c r="D111" s="11">
        <f>IFERROR(IF('入力シート'!$A111="","",'入力シート'!D111),"")</f>
        <v/>
      </c>
      <c r="E111" s="3">
        <f>IFERROR(IF('入力シート'!$A111="","",'入力シート'!I111),"")</f>
        <v/>
      </c>
      <c r="F111" s="3">
        <f>IFERROR(IF('入力シート'!$A111="","",'入力シート'!N111),"")</f>
        <v/>
      </c>
      <c r="G111" s="3">
        <f>IFERROR(IF('入力シート'!$A111="","",'入力シート'!O111),"")</f>
        <v/>
      </c>
      <c r="H111" s="17">
        <f>IFERROR(IF('入力シート'!$A111="","",'入力シート'!P111),"")</f>
        <v/>
      </c>
      <c r="I111" s="11">
        <f>IFERROR(IF('入力シート'!$A111="","",'入力シート'!Q111),"")</f>
        <v/>
      </c>
      <c r="J111" s="11">
        <f>IFERROR(IF('入力シート'!$A111="","",'入力シート'!R111),"")</f>
        <v/>
      </c>
      <c r="K111" s="11">
        <f>IFERROR(IF('入力シート'!$A111="","",IF(H111&gt;='設定'!$B$4,"OK",IF(H111&gt;='設定'!$B$5,"注意","要改善"))),"")</f>
        <v/>
      </c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</row>
    <row r="112" ht="26.75" customHeight="1">
      <c r="A112" s="11">
        <f>IFERROR(IF('入力シート'!$A112="","",'入力シート'!A112),"")</f>
        <v/>
      </c>
      <c r="B112" s="11">
        <f>IFERROR(IF('入力シート'!$A112="","",'入力シート'!B112),"")</f>
        <v/>
      </c>
      <c r="C112" s="11">
        <f>IFERROR(IF('入力シート'!$A112="","",'入力シート'!C112),"")</f>
        <v/>
      </c>
      <c r="D112" s="11">
        <f>IFERROR(IF('入力シート'!$A112="","",'入力シート'!D112),"")</f>
        <v/>
      </c>
      <c r="E112" s="3">
        <f>IFERROR(IF('入力シート'!$A112="","",'入力シート'!I112),"")</f>
        <v/>
      </c>
      <c r="F112" s="3">
        <f>IFERROR(IF('入力シート'!$A112="","",'入力シート'!N112),"")</f>
        <v/>
      </c>
      <c r="G112" s="3">
        <f>IFERROR(IF('入力シート'!$A112="","",'入力シート'!O112),"")</f>
        <v/>
      </c>
      <c r="H112" s="17">
        <f>IFERROR(IF('入力シート'!$A112="","",'入力シート'!P112),"")</f>
        <v/>
      </c>
      <c r="I112" s="11">
        <f>IFERROR(IF('入力シート'!$A112="","",'入力シート'!Q112),"")</f>
        <v/>
      </c>
      <c r="J112" s="11">
        <f>IFERROR(IF('入力シート'!$A112="","",'入力シート'!R112),"")</f>
        <v/>
      </c>
      <c r="K112" s="11">
        <f>IFERROR(IF('入力シート'!$A112="","",IF(H112&gt;='設定'!$B$4,"OK",IF(H112&gt;='設定'!$B$5,"注意","要改善"))),"")</f>
        <v/>
      </c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</row>
    <row r="113" ht="26.75" customHeight="1">
      <c r="A113" s="11">
        <f>IFERROR(IF('入力シート'!$A113="","",'入力シート'!A113),"")</f>
        <v/>
      </c>
      <c r="B113" s="11">
        <f>IFERROR(IF('入力シート'!$A113="","",'入力シート'!B113),"")</f>
        <v/>
      </c>
      <c r="C113" s="11">
        <f>IFERROR(IF('入力シート'!$A113="","",'入力シート'!C113),"")</f>
        <v/>
      </c>
      <c r="D113" s="11">
        <f>IFERROR(IF('入力シート'!$A113="","",'入力シート'!D113),"")</f>
        <v/>
      </c>
      <c r="E113" s="3">
        <f>IFERROR(IF('入力シート'!$A113="","",'入力シート'!I113),"")</f>
        <v/>
      </c>
      <c r="F113" s="3">
        <f>IFERROR(IF('入力シート'!$A113="","",'入力シート'!N113),"")</f>
        <v/>
      </c>
      <c r="G113" s="3">
        <f>IFERROR(IF('入力シート'!$A113="","",'入力シート'!O113),"")</f>
        <v/>
      </c>
      <c r="H113" s="17">
        <f>IFERROR(IF('入力シート'!$A113="","",'入力シート'!P113),"")</f>
        <v/>
      </c>
      <c r="I113" s="11">
        <f>IFERROR(IF('入力シート'!$A113="","",'入力シート'!Q113),"")</f>
        <v/>
      </c>
      <c r="J113" s="11">
        <f>IFERROR(IF('入力シート'!$A113="","",'入力シート'!R113),"")</f>
        <v/>
      </c>
      <c r="K113" s="11">
        <f>IFERROR(IF('入力シート'!$A113="","",IF(H113&gt;='設定'!$B$4,"OK",IF(H113&gt;='設定'!$B$5,"注意","要改善"))),"")</f>
        <v/>
      </c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</row>
    <row r="114" ht="26.75" customHeight="1">
      <c r="A114" s="11">
        <f>IFERROR(IF('入力シート'!$A114="","",'入力シート'!A114),"")</f>
        <v/>
      </c>
      <c r="B114" s="11">
        <f>IFERROR(IF('入力シート'!$A114="","",'入力シート'!B114),"")</f>
        <v/>
      </c>
      <c r="C114" s="11">
        <f>IFERROR(IF('入力シート'!$A114="","",'入力シート'!C114),"")</f>
        <v/>
      </c>
      <c r="D114" s="11">
        <f>IFERROR(IF('入力シート'!$A114="","",'入力シート'!D114),"")</f>
        <v/>
      </c>
      <c r="E114" s="3">
        <f>IFERROR(IF('入力シート'!$A114="","",'入力シート'!I114),"")</f>
        <v/>
      </c>
      <c r="F114" s="3">
        <f>IFERROR(IF('入力シート'!$A114="","",'入力シート'!N114),"")</f>
        <v/>
      </c>
      <c r="G114" s="3">
        <f>IFERROR(IF('入力シート'!$A114="","",'入力シート'!O114),"")</f>
        <v/>
      </c>
      <c r="H114" s="17">
        <f>IFERROR(IF('入力シート'!$A114="","",'入力シート'!P114),"")</f>
        <v/>
      </c>
      <c r="I114" s="11">
        <f>IFERROR(IF('入力シート'!$A114="","",'入力シート'!Q114),"")</f>
        <v/>
      </c>
      <c r="J114" s="11">
        <f>IFERROR(IF('入力シート'!$A114="","",'入力シート'!R114),"")</f>
        <v/>
      </c>
      <c r="K114" s="11">
        <f>IFERROR(IF('入力シート'!$A114="","",IF(H114&gt;='設定'!$B$4,"OK",IF(H114&gt;='設定'!$B$5,"注意","要改善"))),"")</f>
        <v/>
      </c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</row>
    <row r="115" ht="26.75" customHeight="1">
      <c r="A115" s="11">
        <f>IFERROR(IF('入力シート'!$A115="","",'入力シート'!A115),"")</f>
        <v/>
      </c>
      <c r="B115" s="11">
        <f>IFERROR(IF('入力シート'!$A115="","",'入力シート'!B115),"")</f>
        <v/>
      </c>
      <c r="C115" s="11">
        <f>IFERROR(IF('入力シート'!$A115="","",'入力シート'!C115),"")</f>
        <v/>
      </c>
      <c r="D115" s="11">
        <f>IFERROR(IF('入力シート'!$A115="","",'入力シート'!D115),"")</f>
        <v/>
      </c>
      <c r="E115" s="3">
        <f>IFERROR(IF('入力シート'!$A115="","",'入力シート'!I115),"")</f>
        <v/>
      </c>
      <c r="F115" s="3">
        <f>IFERROR(IF('入力シート'!$A115="","",'入力シート'!N115),"")</f>
        <v/>
      </c>
      <c r="G115" s="3">
        <f>IFERROR(IF('入力シート'!$A115="","",'入力シート'!O115),"")</f>
        <v/>
      </c>
      <c r="H115" s="17">
        <f>IFERROR(IF('入力シート'!$A115="","",'入力シート'!P115),"")</f>
        <v/>
      </c>
      <c r="I115" s="11">
        <f>IFERROR(IF('入力シート'!$A115="","",'入力シート'!Q115),"")</f>
        <v/>
      </c>
      <c r="J115" s="11">
        <f>IFERROR(IF('入力シート'!$A115="","",'入力シート'!R115),"")</f>
        <v/>
      </c>
      <c r="K115" s="11">
        <f>IFERROR(IF('入力シート'!$A115="","",IF(H115&gt;='設定'!$B$4,"OK",IF(H115&gt;='設定'!$B$5,"注意","要改善"))),"")</f>
        <v/>
      </c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</row>
    <row r="116" ht="26.75" customHeight="1">
      <c r="A116" s="11">
        <f>IFERROR(IF('入力シート'!$A116="","",'入力シート'!A116),"")</f>
        <v/>
      </c>
      <c r="B116" s="11">
        <f>IFERROR(IF('入力シート'!$A116="","",'入力シート'!B116),"")</f>
        <v/>
      </c>
      <c r="C116" s="11">
        <f>IFERROR(IF('入力シート'!$A116="","",'入力シート'!C116),"")</f>
        <v/>
      </c>
      <c r="D116" s="11">
        <f>IFERROR(IF('入力シート'!$A116="","",'入力シート'!D116),"")</f>
        <v/>
      </c>
      <c r="E116" s="3">
        <f>IFERROR(IF('入力シート'!$A116="","",'入力シート'!I116),"")</f>
        <v/>
      </c>
      <c r="F116" s="3">
        <f>IFERROR(IF('入力シート'!$A116="","",'入力シート'!N116),"")</f>
        <v/>
      </c>
      <c r="G116" s="3">
        <f>IFERROR(IF('入力シート'!$A116="","",'入力シート'!O116),"")</f>
        <v/>
      </c>
      <c r="H116" s="17">
        <f>IFERROR(IF('入力シート'!$A116="","",'入力シート'!P116),"")</f>
        <v/>
      </c>
      <c r="I116" s="11">
        <f>IFERROR(IF('入力シート'!$A116="","",'入力シート'!Q116),"")</f>
        <v/>
      </c>
      <c r="J116" s="11">
        <f>IFERROR(IF('入力シート'!$A116="","",'入力シート'!R116),"")</f>
        <v/>
      </c>
      <c r="K116" s="11">
        <f>IFERROR(IF('入力シート'!$A116="","",IF(H116&gt;='設定'!$B$4,"OK",IF(H116&gt;='設定'!$B$5,"注意","要改善"))),"")</f>
        <v/>
      </c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</row>
    <row r="117" ht="26.75" customHeight="1">
      <c r="A117" s="11">
        <f>IFERROR(IF('入力シート'!$A117="","",'入力シート'!A117),"")</f>
        <v/>
      </c>
      <c r="B117" s="11">
        <f>IFERROR(IF('入力シート'!$A117="","",'入力シート'!B117),"")</f>
        <v/>
      </c>
      <c r="C117" s="11">
        <f>IFERROR(IF('入力シート'!$A117="","",'入力シート'!C117),"")</f>
        <v/>
      </c>
      <c r="D117" s="11">
        <f>IFERROR(IF('入力シート'!$A117="","",'入力シート'!D117),"")</f>
        <v/>
      </c>
      <c r="E117" s="3">
        <f>IFERROR(IF('入力シート'!$A117="","",'入力シート'!I117),"")</f>
        <v/>
      </c>
      <c r="F117" s="3">
        <f>IFERROR(IF('入力シート'!$A117="","",'入力シート'!N117),"")</f>
        <v/>
      </c>
      <c r="G117" s="3">
        <f>IFERROR(IF('入力シート'!$A117="","",'入力シート'!O117),"")</f>
        <v/>
      </c>
      <c r="H117" s="17">
        <f>IFERROR(IF('入力シート'!$A117="","",'入力シート'!P117),"")</f>
        <v/>
      </c>
      <c r="I117" s="11">
        <f>IFERROR(IF('入力シート'!$A117="","",'入力シート'!Q117),"")</f>
        <v/>
      </c>
      <c r="J117" s="11">
        <f>IFERROR(IF('入力シート'!$A117="","",'入力シート'!R117),"")</f>
        <v/>
      </c>
      <c r="K117" s="11">
        <f>IFERROR(IF('入力シート'!$A117="","",IF(H117&gt;='設定'!$B$4,"OK",IF(H117&gt;='設定'!$B$5,"注意","要改善"))),"")</f>
        <v/>
      </c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</row>
    <row r="118" ht="26.75" customHeight="1">
      <c r="A118" s="11">
        <f>IFERROR(IF('入力シート'!$A118="","",'入力シート'!A118),"")</f>
        <v/>
      </c>
      <c r="B118" s="11">
        <f>IFERROR(IF('入力シート'!$A118="","",'入力シート'!B118),"")</f>
        <v/>
      </c>
      <c r="C118" s="11">
        <f>IFERROR(IF('入力シート'!$A118="","",'入力シート'!C118),"")</f>
        <v/>
      </c>
      <c r="D118" s="11">
        <f>IFERROR(IF('入力シート'!$A118="","",'入力シート'!D118),"")</f>
        <v/>
      </c>
      <c r="E118" s="3">
        <f>IFERROR(IF('入力シート'!$A118="","",'入力シート'!I118),"")</f>
        <v/>
      </c>
      <c r="F118" s="3">
        <f>IFERROR(IF('入力シート'!$A118="","",'入力シート'!N118),"")</f>
        <v/>
      </c>
      <c r="G118" s="3">
        <f>IFERROR(IF('入力シート'!$A118="","",'入力シート'!O118),"")</f>
        <v/>
      </c>
      <c r="H118" s="17">
        <f>IFERROR(IF('入力シート'!$A118="","",'入力シート'!P118),"")</f>
        <v/>
      </c>
      <c r="I118" s="11">
        <f>IFERROR(IF('入力シート'!$A118="","",'入力シート'!Q118),"")</f>
        <v/>
      </c>
      <c r="J118" s="11">
        <f>IFERROR(IF('入力シート'!$A118="","",'入力シート'!R118),"")</f>
        <v/>
      </c>
      <c r="K118" s="11">
        <f>IFERROR(IF('入力シート'!$A118="","",IF(H118&gt;='設定'!$B$4,"OK",IF(H118&gt;='設定'!$B$5,"注意","要改善"))),"")</f>
        <v/>
      </c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</row>
    <row r="119" ht="26.75" customHeight="1">
      <c r="A119" s="11">
        <f>IFERROR(IF('入力シート'!$A119="","",'入力シート'!A119),"")</f>
        <v/>
      </c>
      <c r="B119" s="11">
        <f>IFERROR(IF('入力シート'!$A119="","",'入力シート'!B119),"")</f>
        <v/>
      </c>
      <c r="C119" s="11">
        <f>IFERROR(IF('入力シート'!$A119="","",'入力シート'!C119),"")</f>
        <v/>
      </c>
      <c r="D119" s="11">
        <f>IFERROR(IF('入力シート'!$A119="","",'入力シート'!D119),"")</f>
        <v/>
      </c>
      <c r="E119" s="3">
        <f>IFERROR(IF('入力シート'!$A119="","",'入力シート'!I119),"")</f>
        <v/>
      </c>
      <c r="F119" s="3">
        <f>IFERROR(IF('入力シート'!$A119="","",'入力シート'!N119),"")</f>
        <v/>
      </c>
      <c r="G119" s="3">
        <f>IFERROR(IF('入力シート'!$A119="","",'入力シート'!O119),"")</f>
        <v/>
      </c>
      <c r="H119" s="17">
        <f>IFERROR(IF('入力シート'!$A119="","",'入力シート'!P119),"")</f>
        <v/>
      </c>
      <c r="I119" s="11">
        <f>IFERROR(IF('入力シート'!$A119="","",'入力シート'!Q119),"")</f>
        <v/>
      </c>
      <c r="J119" s="11">
        <f>IFERROR(IF('入力シート'!$A119="","",'入力シート'!R119),"")</f>
        <v/>
      </c>
      <c r="K119" s="11">
        <f>IFERROR(IF('入力シート'!$A119="","",IF(H119&gt;='設定'!$B$4,"OK",IF(H119&gt;='設定'!$B$5,"注意","要改善"))),"")</f>
        <v/>
      </c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</row>
    <row r="120" ht="26.75" customHeight="1">
      <c r="A120" s="11">
        <f>IFERROR(IF('入力シート'!$A120="","",'入力シート'!A120),"")</f>
        <v/>
      </c>
      <c r="B120" s="11">
        <f>IFERROR(IF('入力シート'!$A120="","",'入力シート'!B120),"")</f>
        <v/>
      </c>
      <c r="C120" s="11">
        <f>IFERROR(IF('入力シート'!$A120="","",'入力シート'!C120),"")</f>
        <v/>
      </c>
      <c r="D120" s="11">
        <f>IFERROR(IF('入力シート'!$A120="","",'入力シート'!D120),"")</f>
        <v/>
      </c>
      <c r="E120" s="3">
        <f>IFERROR(IF('入力シート'!$A120="","",'入力シート'!I120),"")</f>
        <v/>
      </c>
      <c r="F120" s="3">
        <f>IFERROR(IF('入力シート'!$A120="","",'入力シート'!N120),"")</f>
        <v/>
      </c>
      <c r="G120" s="3">
        <f>IFERROR(IF('入力シート'!$A120="","",'入力シート'!O120),"")</f>
        <v/>
      </c>
      <c r="H120" s="17">
        <f>IFERROR(IF('入力シート'!$A120="","",'入力シート'!P120),"")</f>
        <v/>
      </c>
      <c r="I120" s="11">
        <f>IFERROR(IF('入力シート'!$A120="","",'入力シート'!Q120),"")</f>
        <v/>
      </c>
      <c r="J120" s="11">
        <f>IFERROR(IF('入力シート'!$A120="","",'入力シート'!R120),"")</f>
        <v/>
      </c>
      <c r="K120" s="11">
        <f>IFERROR(IF('入力シート'!$A120="","",IF(H120&gt;='設定'!$B$4,"OK",IF(H120&gt;='設定'!$B$5,"注意","要改善"))),"")</f>
        <v/>
      </c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</row>
    <row r="121" ht="26.75" customHeight="1">
      <c r="A121" s="11">
        <f>IFERROR(IF('入力シート'!$A121="","",'入力シート'!A121),"")</f>
        <v/>
      </c>
      <c r="B121" s="11">
        <f>IFERROR(IF('入力シート'!$A121="","",'入力シート'!B121),"")</f>
        <v/>
      </c>
      <c r="C121" s="11">
        <f>IFERROR(IF('入力シート'!$A121="","",'入力シート'!C121),"")</f>
        <v/>
      </c>
      <c r="D121" s="11">
        <f>IFERROR(IF('入力シート'!$A121="","",'入力シート'!D121),"")</f>
        <v/>
      </c>
      <c r="E121" s="3">
        <f>IFERROR(IF('入力シート'!$A121="","",'入力シート'!I121),"")</f>
        <v/>
      </c>
      <c r="F121" s="3">
        <f>IFERROR(IF('入力シート'!$A121="","",'入力シート'!N121),"")</f>
        <v/>
      </c>
      <c r="G121" s="3">
        <f>IFERROR(IF('入力シート'!$A121="","",'入力シート'!O121),"")</f>
        <v/>
      </c>
      <c r="H121" s="17">
        <f>IFERROR(IF('入力シート'!$A121="","",'入力シート'!P121),"")</f>
        <v/>
      </c>
      <c r="I121" s="11">
        <f>IFERROR(IF('入力シート'!$A121="","",'入力シート'!Q121),"")</f>
        <v/>
      </c>
      <c r="J121" s="11">
        <f>IFERROR(IF('入力シート'!$A121="","",'入力シート'!R121),"")</f>
        <v/>
      </c>
      <c r="K121" s="11">
        <f>IFERROR(IF('入力シート'!$A121="","",IF(H121&gt;='設定'!$B$4,"OK",IF(H121&gt;='設定'!$B$5,"注意","要改善"))),"")</f>
        <v/>
      </c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</row>
    <row r="122" ht="26.75" customHeight="1">
      <c r="A122" s="11">
        <f>IFERROR(IF('入力シート'!$A122="","",'入力シート'!A122),"")</f>
        <v/>
      </c>
      <c r="B122" s="11">
        <f>IFERROR(IF('入力シート'!$A122="","",'入力シート'!B122),"")</f>
        <v/>
      </c>
      <c r="C122" s="11">
        <f>IFERROR(IF('入力シート'!$A122="","",'入力シート'!C122),"")</f>
        <v/>
      </c>
      <c r="D122" s="11">
        <f>IFERROR(IF('入力シート'!$A122="","",'入力シート'!D122),"")</f>
        <v/>
      </c>
      <c r="E122" s="3">
        <f>IFERROR(IF('入力シート'!$A122="","",'入力シート'!I122),"")</f>
        <v/>
      </c>
      <c r="F122" s="3">
        <f>IFERROR(IF('入力シート'!$A122="","",'入力シート'!N122),"")</f>
        <v/>
      </c>
      <c r="G122" s="3">
        <f>IFERROR(IF('入力シート'!$A122="","",'入力シート'!O122),"")</f>
        <v/>
      </c>
      <c r="H122" s="17">
        <f>IFERROR(IF('入力シート'!$A122="","",'入力シート'!P122),"")</f>
        <v/>
      </c>
      <c r="I122" s="11">
        <f>IFERROR(IF('入力シート'!$A122="","",'入力シート'!Q122),"")</f>
        <v/>
      </c>
      <c r="J122" s="11">
        <f>IFERROR(IF('入力シート'!$A122="","",'入力シート'!R122),"")</f>
        <v/>
      </c>
      <c r="K122" s="11">
        <f>IFERROR(IF('入力シート'!$A122="","",IF(H122&gt;='設定'!$B$4,"OK",IF(H122&gt;='設定'!$B$5,"注意","要改善"))),"")</f>
        <v/>
      </c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</row>
    <row r="123" ht="26.75" customHeight="1">
      <c r="A123" s="11">
        <f>IFERROR(IF('入力シート'!$A123="","",'入力シート'!A123),"")</f>
        <v/>
      </c>
      <c r="B123" s="11">
        <f>IFERROR(IF('入力シート'!$A123="","",'入力シート'!B123),"")</f>
        <v/>
      </c>
      <c r="C123" s="11">
        <f>IFERROR(IF('入力シート'!$A123="","",'入力シート'!C123),"")</f>
        <v/>
      </c>
      <c r="D123" s="11">
        <f>IFERROR(IF('入力シート'!$A123="","",'入力シート'!D123),"")</f>
        <v/>
      </c>
      <c r="E123" s="3">
        <f>IFERROR(IF('入力シート'!$A123="","",'入力シート'!I123),"")</f>
        <v/>
      </c>
      <c r="F123" s="3">
        <f>IFERROR(IF('入力シート'!$A123="","",'入力シート'!N123),"")</f>
        <v/>
      </c>
      <c r="G123" s="3">
        <f>IFERROR(IF('入力シート'!$A123="","",'入力シート'!O123),"")</f>
        <v/>
      </c>
      <c r="H123" s="17">
        <f>IFERROR(IF('入力シート'!$A123="","",'入力シート'!P123),"")</f>
        <v/>
      </c>
      <c r="I123" s="11">
        <f>IFERROR(IF('入力シート'!$A123="","",'入力シート'!Q123),"")</f>
        <v/>
      </c>
      <c r="J123" s="11">
        <f>IFERROR(IF('入力シート'!$A123="","",'入力シート'!R123),"")</f>
        <v/>
      </c>
      <c r="K123" s="11">
        <f>IFERROR(IF('入力シート'!$A123="","",IF(H123&gt;='設定'!$B$4,"OK",IF(H123&gt;='設定'!$B$5,"注意","要改善"))),"")</f>
        <v/>
      </c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</row>
    <row r="124" ht="26.75" customHeight="1">
      <c r="A124" s="11">
        <f>IFERROR(IF('入力シート'!$A124="","",'入力シート'!A124),"")</f>
        <v/>
      </c>
      <c r="B124" s="11">
        <f>IFERROR(IF('入力シート'!$A124="","",'入力シート'!B124),"")</f>
        <v/>
      </c>
      <c r="C124" s="11">
        <f>IFERROR(IF('入力シート'!$A124="","",'入力シート'!C124),"")</f>
        <v/>
      </c>
      <c r="D124" s="11">
        <f>IFERROR(IF('入力シート'!$A124="","",'入力シート'!D124),"")</f>
        <v/>
      </c>
      <c r="E124" s="3">
        <f>IFERROR(IF('入力シート'!$A124="","",'入力シート'!I124),"")</f>
        <v/>
      </c>
      <c r="F124" s="3">
        <f>IFERROR(IF('入力シート'!$A124="","",'入力シート'!N124),"")</f>
        <v/>
      </c>
      <c r="G124" s="3">
        <f>IFERROR(IF('入力シート'!$A124="","",'入力シート'!O124),"")</f>
        <v/>
      </c>
      <c r="H124" s="17">
        <f>IFERROR(IF('入力シート'!$A124="","",'入力シート'!P124),"")</f>
        <v/>
      </c>
      <c r="I124" s="11">
        <f>IFERROR(IF('入力シート'!$A124="","",'入力シート'!Q124),"")</f>
        <v/>
      </c>
      <c r="J124" s="11">
        <f>IFERROR(IF('入力シート'!$A124="","",'入力シート'!R124),"")</f>
        <v/>
      </c>
      <c r="K124" s="11">
        <f>IFERROR(IF('入力シート'!$A124="","",IF(H124&gt;='設定'!$B$4,"OK",IF(H124&gt;='設定'!$B$5,"注意","要改善"))),"")</f>
        <v/>
      </c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</row>
    <row r="125" ht="26.75" customHeight="1">
      <c r="A125" s="11">
        <f>IFERROR(IF('入力シート'!$A125="","",'入力シート'!A125),"")</f>
        <v/>
      </c>
      <c r="B125" s="11">
        <f>IFERROR(IF('入力シート'!$A125="","",'入力シート'!B125),"")</f>
        <v/>
      </c>
      <c r="C125" s="11">
        <f>IFERROR(IF('入力シート'!$A125="","",'入力シート'!C125),"")</f>
        <v/>
      </c>
      <c r="D125" s="11">
        <f>IFERROR(IF('入力シート'!$A125="","",'入力シート'!D125),"")</f>
        <v/>
      </c>
      <c r="E125" s="3">
        <f>IFERROR(IF('入力シート'!$A125="","",'入力シート'!I125),"")</f>
        <v/>
      </c>
      <c r="F125" s="3">
        <f>IFERROR(IF('入力シート'!$A125="","",'入力シート'!N125),"")</f>
        <v/>
      </c>
      <c r="G125" s="3">
        <f>IFERROR(IF('入力シート'!$A125="","",'入力シート'!O125),"")</f>
        <v/>
      </c>
      <c r="H125" s="17">
        <f>IFERROR(IF('入力シート'!$A125="","",'入力シート'!P125),"")</f>
        <v/>
      </c>
      <c r="I125" s="11">
        <f>IFERROR(IF('入力シート'!$A125="","",'入力シート'!Q125),"")</f>
        <v/>
      </c>
      <c r="J125" s="11">
        <f>IFERROR(IF('入力シート'!$A125="","",'入力シート'!R125),"")</f>
        <v/>
      </c>
      <c r="K125" s="11">
        <f>IFERROR(IF('入力シート'!$A125="","",IF(H125&gt;='設定'!$B$4,"OK",IF(H125&gt;='設定'!$B$5,"注意","要改善"))),"")</f>
        <v/>
      </c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</row>
    <row r="126" ht="26.75" customHeight="1">
      <c r="A126" s="11">
        <f>IFERROR(IF('入力シート'!$A126="","",'入力シート'!A126),"")</f>
        <v/>
      </c>
      <c r="B126" s="11">
        <f>IFERROR(IF('入力シート'!$A126="","",'入力シート'!B126),"")</f>
        <v/>
      </c>
      <c r="C126" s="11">
        <f>IFERROR(IF('入力シート'!$A126="","",'入力シート'!C126),"")</f>
        <v/>
      </c>
      <c r="D126" s="11">
        <f>IFERROR(IF('入力シート'!$A126="","",'入力シート'!D126),"")</f>
        <v/>
      </c>
      <c r="E126" s="3">
        <f>IFERROR(IF('入力シート'!$A126="","",'入力シート'!I126),"")</f>
        <v/>
      </c>
      <c r="F126" s="3">
        <f>IFERROR(IF('入力シート'!$A126="","",'入力シート'!N126),"")</f>
        <v/>
      </c>
      <c r="G126" s="3">
        <f>IFERROR(IF('入力シート'!$A126="","",'入力シート'!O126),"")</f>
        <v/>
      </c>
      <c r="H126" s="17">
        <f>IFERROR(IF('入力シート'!$A126="","",'入力シート'!P126),"")</f>
        <v/>
      </c>
      <c r="I126" s="11">
        <f>IFERROR(IF('入力シート'!$A126="","",'入力シート'!Q126),"")</f>
        <v/>
      </c>
      <c r="J126" s="11">
        <f>IFERROR(IF('入力シート'!$A126="","",'入力シート'!R126),"")</f>
        <v/>
      </c>
      <c r="K126" s="11">
        <f>IFERROR(IF('入力シート'!$A126="","",IF(H126&gt;='設定'!$B$4,"OK",IF(H126&gt;='設定'!$B$5,"注意","要改善"))),"")</f>
        <v/>
      </c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</row>
    <row r="127" ht="26.75" customHeight="1">
      <c r="A127" s="11">
        <f>IFERROR(IF('入力シート'!$A127="","",'入力シート'!A127),"")</f>
        <v/>
      </c>
      <c r="B127" s="11">
        <f>IFERROR(IF('入力シート'!$A127="","",'入力シート'!B127),"")</f>
        <v/>
      </c>
      <c r="C127" s="11">
        <f>IFERROR(IF('入力シート'!$A127="","",'入力シート'!C127),"")</f>
        <v/>
      </c>
      <c r="D127" s="11">
        <f>IFERROR(IF('入力シート'!$A127="","",'入力シート'!D127),"")</f>
        <v/>
      </c>
      <c r="E127" s="3">
        <f>IFERROR(IF('入力シート'!$A127="","",'入力シート'!I127),"")</f>
        <v/>
      </c>
      <c r="F127" s="3">
        <f>IFERROR(IF('入力シート'!$A127="","",'入力シート'!N127),"")</f>
        <v/>
      </c>
      <c r="G127" s="3">
        <f>IFERROR(IF('入力シート'!$A127="","",'入力シート'!O127),"")</f>
        <v/>
      </c>
      <c r="H127" s="17">
        <f>IFERROR(IF('入力シート'!$A127="","",'入力シート'!P127),"")</f>
        <v/>
      </c>
      <c r="I127" s="11">
        <f>IFERROR(IF('入力シート'!$A127="","",'入力シート'!Q127),"")</f>
        <v/>
      </c>
      <c r="J127" s="11">
        <f>IFERROR(IF('入力シート'!$A127="","",'入力シート'!R127),"")</f>
        <v/>
      </c>
      <c r="K127" s="11">
        <f>IFERROR(IF('入力シート'!$A127="","",IF(H127&gt;='設定'!$B$4,"OK",IF(H127&gt;='設定'!$B$5,"注意","要改善"))),"")</f>
        <v/>
      </c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</row>
    <row r="128" ht="26.75" customHeight="1">
      <c r="A128" s="11">
        <f>IFERROR(IF('入力シート'!$A128="","",'入力シート'!A128),"")</f>
        <v/>
      </c>
      <c r="B128" s="11">
        <f>IFERROR(IF('入力シート'!$A128="","",'入力シート'!B128),"")</f>
        <v/>
      </c>
      <c r="C128" s="11">
        <f>IFERROR(IF('入力シート'!$A128="","",'入力シート'!C128),"")</f>
        <v/>
      </c>
      <c r="D128" s="11">
        <f>IFERROR(IF('入力シート'!$A128="","",'入力シート'!D128),"")</f>
        <v/>
      </c>
      <c r="E128" s="3">
        <f>IFERROR(IF('入力シート'!$A128="","",'入力シート'!I128),"")</f>
        <v/>
      </c>
      <c r="F128" s="3">
        <f>IFERROR(IF('入力シート'!$A128="","",'入力シート'!N128),"")</f>
        <v/>
      </c>
      <c r="G128" s="3">
        <f>IFERROR(IF('入力シート'!$A128="","",'入力シート'!O128),"")</f>
        <v/>
      </c>
      <c r="H128" s="17">
        <f>IFERROR(IF('入力シート'!$A128="","",'入力シート'!P128),"")</f>
        <v/>
      </c>
      <c r="I128" s="11">
        <f>IFERROR(IF('入力シート'!$A128="","",'入力シート'!Q128),"")</f>
        <v/>
      </c>
      <c r="J128" s="11">
        <f>IFERROR(IF('入力シート'!$A128="","",'入力シート'!R128),"")</f>
        <v/>
      </c>
      <c r="K128" s="11">
        <f>IFERROR(IF('入力シート'!$A128="","",IF(H128&gt;='設定'!$B$4,"OK",IF(H128&gt;='設定'!$B$5,"注意","要改善"))),"")</f>
        <v/>
      </c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</row>
    <row r="129" ht="26.75" customHeight="1">
      <c r="A129" s="11">
        <f>IFERROR(IF('入力シート'!$A129="","",'入力シート'!A129),"")</f>
        <v/>
      </c>
      <c r="B129" s="11">
        <f>IFERROR(IF('入力シート'!$A129="","",'入力シート'!B129),"")</f>
        <v/>
      </c>
      <c r="C129" s="11">
        <f>IFERROR(IF('入力シート'!$A129="","",'入力シート'!C129),"")</f>
        <v/>
      </c>
      <c r="D129" s="11">
        <f>IFERROR(IF('入力シート'!$A129="","",'入力シート'!D129),"")</f>
        <v/>
      </c>
      <c r="E129" s="3">
        <f>IFERROR(IF('入力シート'!$A129="","",'入力シート'!I129),"")</f>
        <v/>
      </c>
      <c r="F129" s="3">
        <f>IFERROR(IF('入力シート'!$A129="","",'入力シート'!N129),"")</f>
        <v/>
      </c>
      <c r="G129" s="3">
        <f>IFERROR(IF('入力シート'!$A129="","",'入力シート'!O129),"")</f>
        <v/>
      </c>
      <c r="H129" s="17">
        <f>IFERROR(IF('入力シート'!$A129="","",'入力シート'!P129),"")</f>
        <v/>
      </c>
      <c r="I129" s="11">
        <f>IFERROR(IF('入力シート'!$A129="","",'入力シート'!Q129),"")</f>
        <v/>
      </c>
      <c r="J129" s="11">
        <f>IFERROR(IF('入力シート'!$A129="","",'入力シート'!R129),"")</f>
        <v/>
      </c>
      <c r="K129" s="11">
        <f>IFERROR(IF('入力シート'!$A129="","",IF(H129&gt;='設定'!$B$4,"OK",IF(H129&gt;='設定'!$B$5,"注意","要改善"))),"")</f>
        <v/>
      </c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</row>
    <row r="130" ht="26.75" customHeight="1">
      <c r="A130" s="11">
        <f>IFERROR(IF('入力シート'!$A130="","",'入力シート'!A130),"")</f>
        <v/>
      </c>
      <c r="B130" s="11">
        <f>IFERROR(IF('入力シート'!$A130="","",'入力シート'!B130),"")</f>
        <v/>
      </c>
      <c r="C130" s="11">
        <f>IFERROR(IF('入力シート'!$A130="","",'入力シート'!C130),"")</f>
        <v/>
      </c>
      <c r="D130" s="11">
        <f>IFERROR(IF('入力シート'!$A130="","",'入力シート'!D130),"")</f>
        <v/>
      </c>
      <c r="E130" s="3">
        <f>IFERROR(IF('入力シート'!$A130="","",'入力シート'!I130),"")</f>
        <v/>
      </c>
      <c r="F130" s="3">
        <f>IFERROR(IF('入力シート'!$A130="","",'入力シート'!N130),"")</f>
        <v/>
      </c>
      <c r="G130" s="3">
        <f>IFERROR(IF('入力シート'!$A130="","",'入力シート'!O130),"")</f>
        <v/>
      </c>
      <c r="H130" s="17">
        <f>IFERROR(IF('入力シート'!$A130="","",'入力シート'!P130),"")</f>
        <v/>
      </c>
      <c r="I130" s="11">
        <f>IFERROR(IF('入力シート'!$A130="","",'入力シート'!Q130),"")</f>
        <v/>
      </c>
      <c r="J130" s="11">
        <f>IFERROR(IF('入力シート'!$A130="","",'入力シート'!R130),"")</f>
        <v/>
      </c>
      <c r="K130" s="11">
        <f>IFERROR(IF('入力シート'!$A130="","",IF(H130&gt;='設定'!$B$4,"OK",IF(H130&gt;='設定'!$B$5,"注意","要改善"))),"")</f>
        <v/>
      </c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</row>
    <row r="131" ht="26.75" customHeight="1">
      <c r="A131" s="11">
        <f>IFERROR(IF('入力シート'!$A131="","",'入力シート'!A131),"")</f>
        <v/>
      </c>
      <c r="B131" s="11">
        <f>IFERROR(IF('入力シート'!$A131="","",'入力シート'!B131),"")</f>
        <v/>
      </c>
      <c r="C131" s="11">
        <f>IFERROR(IF('入力シート'!$A131="","",'入力シート'!C131),"")</f>
        <v/>
      </c>
      <c r="D131" s="11">
        <f>IFERROR(IF('入力シート'!$A131="","",'入力シート'!D131),"")</f>
        <v/>
      </c>
      <c r="E131" s="3">
        <f>IFERROR(IF('入力シート'!$A131="","",'入力シート'!I131),"")</f>
        <v/>
      </c>
      <c r="F131" s="3">
        <f>IFERROR(IF('入力シート'!$A131="","",'入力シート'!N131),"")</f>
        <v/>
      </c>
      <c r="G131" s="3">
        <f>IFERROR(IF('入力シート'!$A131="","",'入力シート'!O131),"")</f>
        <v/>
      </c>
      <c r="H131" s="17">
        <f>IFERROR(IF('入力シート'!$A131="","",'入力シート'!P131),"")</f>
        <v/>
      </c>
      <c r="I131" s="11">
        <f>IFERROR(IF('入力シート'!$A131="","",'入力シート'!Q131),"")</f>
        <v/>
      </c>
      <c r="J131" s="11">
        <f>IFERROR(IF('入力シート'!$A131="","",'入力シート'!R131),"")</f>
        <v/>
      </c>
      <c r="K131" s="11">
        <f>IFERROR(IF('入力シート'!$A131="","",IF(H131&gt;='設定'!$B$4,"OK",IF(H131&gt;='設定'!$B$5,"注意","要改善"))),"")</f>
        <v/>
      </c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</row>
    <row r="132" ht="26.75" customHeight="1">
      <c r="A132" s="11">
        <f>IFERROR(IF('入力シート'!$A132="","",'入力シート'!A132),"")</f>
        <v/>
      </c>
      <c r="B132" s="11">
        <f>IFERROR(IF('入力シート'!$A132="","",'入力シート'!B132),"")</f>
        <v/>
      </c>
      <c r="C132" s="11">
        <f>IFERROR(IF('入力シート'!$A132="","",'入力シート'!C132),"")</f>
        <v/>
      </c>
      <c r="D132" s="11">
        <f>IFERROR(IF('入力シート'!$A132="","",'入力シート'!D132),"")</f>
        <v/>
      </c>
      <c r="E132" s="3">
        <f>IFERROR(IF('入力シート'!$A132="","",'入力シート'!I132),"")</f>
        <v/>
      </c>
      <c r="F132" s="3">
        <f>IFERROR(IF('入力シート'!$A132="","",'入力シート'!N132),"")</f>
        <v/>
      </c>
      <c r="G132" s="3">
        <f>IFERROR(IF('入力シート'!$A132="","",'入力シート'!O132),"")</f>
        <v/>
      </c>
      <c r="H132" s="17">
        <f>IFERROR(IF('入力シート'!$A132="","",'入力シート'!P132),"")</f>
        <v/>
      </c>
      <c r="I132" s="11">
        <f>IFERROR(IF('入力シート'!$A132="","",'入力シート'!Q132),"")</f>
        <v/>
      </c>
      <c r="J132" s="11">
        <f>IFERROR(IF('入力シート'!$A132="","",'入力シート'!R132),"")</f>
        <v/>
      </c>
      <c r="K132" s="11">
        <f>IFERROR(IF('入力シート'!$A132="","",IF(H132&gt;='設定'!$B$4,"OK",IF(H132&gt;='設定'!$B$5,"注意","要改善"))),"")</f>
        <v/>
      </c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</row>
    <row r="133" ht="26.75" customHeight="1">
      <c r="A133" s="11">
        <f>IFERROR(IF('入力シート'!$A133="","",'入力シート'!A133),"")</f>
        <v/>
      </c>
      <c r="B133" s="11">
        <f>IFERROR(IF('入力シート'!$A133="","",'入力シート'!B133),"")</f>
        <v/>
      </c>
      <c r="C133" s="11">
        <f>IFERROR(IF('入力シート'!$A133="","",'入力シート'!C133),"")</f>
        <v/>
      </c>
      <c r="D133" s="11">
        <f>IFERROR(IF('入力シート'!$A133="","",'入力シート'!D133),"")</f>
        <v/>
      </c>
      <c r="E133" s="3">
        <f>IFERROR(IF('入力シート'!$A133="","",'入力シート'!I133),"")</f>
        <v/>
      </c>
      <c r="F133" s="3">
        <f>IFERROR(IF('入力シート'!$A133="","",'入力シート'!N133),"")</f>
        <v/>
      </c>
      <c r="G133" s="3">
        <f>IFERROR(IF('入力シート'!$A133="","",'入力シート'!O133),"")</f>
        <v/>
      </c>
      <c r="H133" s="17">
        <f>IFERROR(IF('入力シート'!$A133="","",'入力シート'!P133),"")</f>
        <v/>
      </c>
      <c r="I133" s="11">
        <f>IFERROR(IF('入力シート'!$A133="","",'入力シート'!Q133),"")</f>
        <v/>
      </c>
      <c r="J133" s="11">
        <f>IFERROR(IF('入力シート'!$A133="","",'入力シート'!R133),"")</f>
        <v/>
      </c>
      <c r="K133" s="11">
        <f>IFERROR(IF('入力シート'!$A133="","",IF(H133&gt;='設定'!$B$4,"OK",IF(H133&gt;='設定'!$B$5,"注意","要改善"))),"")</f>
        <v/>
      </c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</row>
    <row r="134" ht="26.75" customHeight="1">
      <c r="A134" s="11">
        <f>IFERROR(IF('入力シート'!$A134="","",'入力シート'!A134),"")</f>
        <v/>
      </c>
      <c r="B134" s="11">
        <f>IFERROR(IF('入力シート'!$A134="","",'入力シート'!B134),"")</f>
        <v/>
      </c>
      <c r="C134" s="11">
        <f>IFERROR(IF('入力シート'!$A134="","",'入力シート'!C134),"")</f>
        <v/>
      </c>
      <c r="D134" s="11">
        <f>IFERROR(IF('入力シート'!$A134="","",'入力シート'!D134),"")</f>
        <v/>
      </c>
      <c r="E134" s="3">
        <f>IFERROR(IF('入力シート'!$A134="","",'入力シート'!I134),"")</f>
        <v/>
      </c>
      <c r="F134" s="3">
        <f>IFERROR(IF('入力シート'!$A134="","",'入力シート'!N134),"")</f>
        <v/>
      </c>
      <c r="G134" s="3">
        <f>IFERROR(IF('入力シート'!$A134="","",'入力シート'!O134),"")</f>
        <v/>
      </c>
      <c r="H134" s="17">
        <f>IFERROR(IF('入力シート'!$A134="","",'入力シート'!P134),"")</f>
        <v/>
      </c>
      <c r="I134" s="11">
        <f>IFERROR(IF('入力シート'!$A134="","",'入力シート'!Q134),"")</f>
        <v/>
      </c>
      <c r="J134" s="11">
        <f>IFERROR(IF('入力シート'!$A134="","",'入力シート'!R134),"")</f>
        <v/>
      </c>
      <c r="K134" s="11">
        <f>IFERROR(IF('入力シート'!$A134="","",IF(H134&gt;='設定'!$B$4,"OK",IF(H134&gt;='設定'!$B$5,"注意","要改善"))),"")</f>
        <v/>
      </c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</row>
    <row r="135" ht="26.75" customHeight="1">
      <c r="A135" s="11">
        <f>IFERROR(IF('入力シート'!$A135="","",'入力シート'!A135),"")</f>
        <v/>
      </c>
      <c r="B135" s="11">
        <f>IFERROR(IF('入力シート'!$A135="","",'入力シート'!B135),"")</f>
        <v/>
      </c>
      <c r="C135" s="11">
        <f>IFERROR(IF('入力シート'!$A135="","",'入力シート'!C135),"")</f>
        <v/>
      </c>
      <c r="D135" s="11">
        <f>IFERROR(IF('入力シート'!$A135="","",'入力シート'!D135),"")</f>
        <v/>
      </c>
      <c r="E135" s="3">
        <f>IFERROR(IF('入力シート'!$A135="","",'入力シート'!I135),"")</f>
        <v/>
      </c>
      <c r="F135" s="3">
        <f>IFERROR(IF('入力シート'!$A135="","",'入力シート'!N135),"")</f>
        <v/>
      </c>
      <c r="G135" s="3">
        <f>IFERROR(IF('入力シート'!$A135="","",'入力シート'!O135),"")</f>
        <v/>
      </c>
      <c r="H135" s="17">
        <f>IFERROR(IF('入力シート'!$A135="","",'入力シート'!P135),"")</f>
        <v/>
      </c>
      <c r="I135" s="11">
        <f>IFERROR(IF('入力シート'!$A135="","",'入力シート'!Q135),"")</f>
        <v/>
      </c>
      <c r="J135" s="11">
        <f>IFERROR(IF('入力シート'!$A135="","",'入力シート'!R135),"")</f>
        <v/>
      </c>
      <c r="K135" s="11">
        <f>IFERROR(IF('入力シート'!$A135="","",IF(H135&gt;='設定'!$B$4,"OK",IF(H135&gt;='設定'!$B$5,"注意","要改善"))),"")</f>
        <v/>
      </c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</row>
    <row r="136" ht="26.75" customHeight="1">
      <c r="A136" s="11">
        <f>IFERROR(IF('入力シート'!$A136="","",'入力シート'!A136),"")</f>
        <v/>
      </c>
      <c r="B136" s="11">
        <f>IFERROR(IF('入力シート'!$A136="","",'入力シート'!B136),"")</f>
        <v/>
      </c>
      <c r="C136" s="11">
        <f>IFERROR(IF('入力シート'!$A136="","",'入力シート'!C136),"")</f>
        <v/>
      </c>
      <c r="D136" s="11">
        <f>IFERROR(IF('入力シート'!$A136="","",'入力シート'!D136),"")</f>
        <v/>
      </c>
      <c r="E136" s="3">
        <f>IFERROR(IF('入力シート'!$A136="","",'入力シート'!I136),"")</f>
        <v/>
      </c>
      <c r="F136" s="3">
        <f>IFERROR(IF('入力シート'!$A136="","",'入力シート'!N136),"")</f>
        <v/>
      </c>
      <c r="G136" s="3">
        <f>IFERROR(IF('入力シート'!$A136="","",'入力シート'!O136),"")</f>
        <v/>
      </c>
      <c r="H136" s="17">
        <f>IFERROR(IF('入力シート'!$A136="","",'入力シート'!P136),"")</f>
        <v/>
      </c>
      <c r="I136" s="11">
        <f>IFERROR(IF('入力シート'!$A136="","",'入力シート'!Q136),"")</f>
        <v/>
      </c>
      <c r="J136" s="11">
        <f>IFERROR(IF('入力シート'!$A136="","",'入力シート'!R136),"")</f>
        <v/>
      </c>
      <c r="K136" s="11">
        <f>IFERROR(IF('入力シート'!$A136="","",IF(H136&gt;='設定'!$B$4,"OK",IF(H136&gt;='設定'!$B$5,"注意","要改善"))),"")</f>
        <v/>
      </c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</row>
    <row r="137" ht="26.75" customHeight="1">
      <c r="A137" s="11">
        <f>IFERROR(IF('入力シート'!$A137="","",'入力シート'!A137),"")</f>
        <v/>
      </c>
      <c r="B137" s="11">
        <f>IFERROR(IF('入力シート'!$A137="","",'入力シート'!B137),"")</f>
        <v/>
      </c>
      <c r="C137" s="11">
        <f>IFERROR(IF('入力シート'!$A137="","",'入力シート'!C137),"")</f>
        <v/>
      </c>
      <c r="D137" s="11">
        <f>IFERROR(IF('入力シート'!$A137="","",'入力シート'!D137),"")</f>
        <v/>
      </c>
      <c r="E137" s="3">
        <f>IFERROR(IF('入力シート'!$A137="","",'入力シート'!I137),"")</f>
        <v/>
      </c>
      <c r="F137" s="3">
        <f>IFERROR(IF('入力シート'!$A137="","",'入力シート'!N137),"")</f>
        <v/>
      </c>
      <c r="G137" s="3">
        <f>IFERROR(IF('入力シート'!$A137="","",'入力シート'!O137),"")</f>
        <v/>
      </c>
      <c r="H137" s="17">
        <f>IFERROR(IF('入力シート'!$A137="","",'入力シート'!P137),"")</f>
        <v/>
      </c>
      <c r="I137" s="11">
        <f>IFERROR(IF('入力シート'!$A137="","",'入力シート'!Q137),"")</f>
        <v/>
      </c>
      <c r="J137" s="11">
        <f>IFERROR(IF('入力シート'!$A137="","",'入力シート'!R137),"")</f>
        <v/>
      </c>
      <c r="K137" s="11">
        <f>IFERROR(IF('入力シート'!$A137="","",IF(H137&gt;='設定'!$B$4,"OK",IF(H137&gt;='設定'!$B$5,"注意","要改善"))),"")</f>
        <v/>
      </c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</row>
    <row r="138" ht="26.75" customHeight="1">
      <c r="A138" s="11">
        <f>IFERROR(IF('入力シート'!$A138="","",'入力シート'!A138),"")</f>
        <v/>
      </c>
      <c r="B138" s="11">
        <f>IFERROR(IF('入力シート'!$A138="","",'入力シート'!B138),"")</f>
        <v/>
      </c>
      <c r="C138" s="11">
        <f>IFERROR(IF('入力シート'!$A138="","",'入力シート'!C138),"")</f>
        <v/>
      </c>
      <c r="D138" s="11">
        <f>IFERROR(IF('入力シート'!$A138="","",'入力シート'!D138),"")</f>
        <v/>
      </c>
      <c r="E138" s="3">
        <f>IFERROR(IF('入力シート'!$A138="","",'入力シート'!I138),"")</f>
        <v/>
      </c>
      <c r="F138" s="3">
        <f>IFERROR(IF('入力シート'!$A138="","",'入力シート'!N138),"")</f>
        <v/>
      </c>
      <c r="G138" s="3">
        <f>IFERROR(IF('入力シート'!$A138="","",'入力シート'!O138),"")</f>
        <v/>
      </c>
      <c r="H138" s="17">
        <f>IFERROR(IF('入力シート'!$A138="","",'入力シート'!P138),"")</f>
        <v/>
      </c>
      <c r="I138" s="11">
        <f>IFERROR(IF('入力シート'!$A138="","",'入力シート'!Q138),"")</f>
        <v/>
      </c>
      <c r="J138" s="11">
        <f>IFERROR(IF('入力シート'!$A138="","",'入力シート'!R138),"")</f>
        <v/>
      </c>
      <c r="K138" s="11">
        <f>IFERROR(IF('入力シート'!$A138="","",IF(H138&gt;='設定'!$B$4,"OK",IF(H138&gt;='設定'!$B$5,"注意","要改善"))),"")</f>
        <v/>
      </c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</row>
    <row r="139" ht="26.75" customHeight="1">
      <c r="A139" s="11">
        <f>IFERROR(IF('入力シート'!$A139="","",'入力シート'!A139),"")</f>
        <v/>
      </c>
      <c r="B139" s="11">
        <f>IFERROR(IF('入力シート'!$A139="","",'入力シート'!B139),"")</f>
        <v/>
      </c>
      <c r="C139" s="11">
        <f>IFERROR(IF('入力シート'!$A139="","",'入力シート'!C139),"")</f>
        <v/>
      </c>
      <c r="D139" s="11">
        <f>IFERROR(IF('入力シート'!$A139="","",'入力シート'!D139),"")</f>
        <v/>
      </c>
      <c r="E139" s="3">
        <f>IFERROR(IF('入力シート'!$A139="","",'入力シート'!I139),"")</f>
        <v/>
      </c>
      <c r="F139" s="3">
        <f>IFERROR(IF('入力シート'!$A139="","",'入力シート'!N139),"")</f>
        <v/>
      </c>
      <c r="G139" s="3">
        <f>IFERROR(IF('入力シート'!$A139="","",'入力シート'!O139),"")</f>
        <v/>
      </c>
      <c r="H139" s="17">
        <f>IFERROR(IF('入力シート'!$A139="","",'入力シート'!P139),"")</f>
        <v/>
      </c>
      <c r="I139" s="11">
        <f>IFERROR(IF('入力シート'!$A139="","",'入力シート'!Q139),"")</f>
        <v/>
      </c>
      <c r="J139" s="11">
        <f>IFERROR(IF('入力シート'!$A139="","",'入力シート'!R139),"")</f>
        <v/>
      </c>
      <c r="K139" s="11">
        <f>IFERROR(IF('入力シート'!$A139="","",IF(H139&gt;='設定'!$B$4,"OK",IF(H139&gt;='設定'!$B$5,"注意","要改善"))),"")</f>
        <v/>
      </c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</row>
    <row r="140" ht="26.75" customHeight="1">
      <c r="A140" s="11">
        <f>IFERROR(IF('入力シート'!$A140="","",'入力シート'!A140),"")</f>
        <v/>
      </c>
      <c r="B140" s="11">
        <f>IFERROR(IF('入力シート'!$A140="","",'入力シート'!B140),"")</f>
        <v/>
      </c>
      <c r="C140" s="11">
        <f>IFERROR(IF('入力シート'!$A140="","",'入力シート'!C140),"")</f>
        <v/>
      </c>
      <c r="D140" s="11">
        <f>IFERROR(IF('入力シート'!$A140="","",'入力シート'!D140),"")</f>
        <v/>
      </c>
      <c r="E140" s="3">
        <f>IFERROR(IF('入力シート'!$A140="","",'入力シート'!I140),"")</f>
        <v/>
      </c>
      <c r="F140" s="3">
        <f>IFERROR(IF('入力シート'!$A140="","",'入力シート'!N140),"")</f>
        <v/>
      </c>
      <c r="G140" s="3">
        <f>IFERROR(IF('入力シート'!$A140="","",'入力シート'!O140),"")</f>
        <v/>
      </c>
      <c r="H140" s="17">
        <f>IFERROR(IF('入力シート'!$A140="","",'入力シート'!P140),"")</f>
        <v/>
      </c>
      <c r="I140" s="11">
        <f>IFERROR(IF('入力シート'!$A140="","",'入力シート'!Q140),"")</f>
        <v/>
      </c>
      <c r="J140" s="11">
        <f>IFERROR(IF('入力シート'!$A140="","",'入力シート'!R140),"")</f>
        <v/>
      </c>
      <c r="K140" s="11">
        <f>IFERROR(IF('入力シート'!$A140="","",IF(H140&gt;='設定'!$B$4,"OK",IF(H140&gt;='設定'!$B$5,"注意","要改善"))),"")</f>
        <v/>
      </c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</row>
    <row r="141" ht="26.75" customHeight="1">
      <c r="A141" s="11">
        <f>IFERROR(IF('入力シート'!$A141="","",'入力シート'!A141),"")</f>
        <v/>
      </c>
      <c r="B141" s="11">
        <f>IFERROR(IF('入力シート'!$A141="","",'入力シート'!B141),"")</f>
        <v/>
      </c>
      <c r="C141" s="11">
        <f>IFERROR(IF('入力シート'!$A141="","",'入力シート'!C141),"")</f>
        <v/>
      </c>
      <c r="D141" s="11">
        <f>IFERROR(IF('入力シート'!$A141="","",'入力シート'!D141),"")</f>
        <v/>
      </c>
      <c r="E141" s="3">
        <f>IFERROR(IF('入力シート'!$A141="","",'入力シート'!I141),"")</f>
        <v/>
      </c>
      <c r="F141" s="3">
        <f>IFERROR(IF('入力シート'!$A141="","",'入力シート'!N141),"")</f>
        <v/>
      </c>
      <c r="G141" s="3">
        <f>IFERROR(IF('入力シート'!$A141="","",'入力シート'!O141),"")</f>
        <v/>
      </c>
      <c r="H141" s="17">
        <f>IFERROR(IF('入力シート'!$A141="","",'入力シート'!P141),"")</f>
        <v/>
      </c>
      <c r="I141" s="11">
        <f>IFERROR(IF('入力シート'!$A141="","",'入力シート'!Q141),"")</f>
        <v/>
      </c>
      <c r="J141" s="11">
        <f>IFERROR(IF('入力シート'!$A141="","",'入力シート'!R141),"")</f>
        <v/>
      </c>
      <c r="K141" s="11">
        <f>IFERROR(IF('入力シート'!$A141="","",IF(H141&gt;='設定'!$B$4,"OK",IF(H141&gt;='設定'!$B$5,"注意","要改善"))),"")</f>
        <v/>
      </c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</row>
    <row r="142" ht="26.75" customHeight="1">
      <c r="A142" s="11">
        <f>IFERROR(IF('入力シート'!$A142="","",'入力シート'!A142),"")</f>
        <v/>
      </c>
      <c r="B142" s="11">
        <f>IFERROR(IF('入力シート'!$A142="","",'入力シート'!B142),"")</f>
        <v/>
      </c>
      <c r="C142" s="11">
        <f>IFERROR(IF('入力シート'!$A142="","",'入力シート'!C142),"")</f>
        <v/>
      </c>
      <c r="D142" s="11">
        <f>IFERROR(IF('入力シート'!$A142="","",'入力シート'!D142),"")</f>
        <v/>
      </c>
      <c r="E142" s="3">
        <f>IFERROR(IF('入力シート'!$A142="","",'入力シート'!I142),"")</f>
        <v/>
      </c>
      <c r="F142" s="3">
        <f>IFERROR(IF('入力シート'!$A142="","",'入力シート'!N142),"")</f>
        <v/>
      </c>
      <c r="G142" s="3">
        <f>IFERROR(IF('入力シート'!$A142="","",'入力シート'!O142),"")</f>
        <v/>
      </c>
      <c r="H142" s="17">
        <f>IFERROR(IF('入力シート'!$A142="","",'入力シート'!P142),"")</f>
        <v/>
      </c>
      <c r="I142" s="11">
        <f>IFERROR(IF('入力シート'!$A142="","",'入力シート'!Q142),"")</f>
        <v/>
      </c>
      <c r="J142" s="11">
        <f>IFERROR(IF('入力シート'!$A142="","",'入力シート'!R142),"")</f>
        <v/>
      </c>
      <c r="K142" s="11">
        <f>IFERROR(IF('入力シート'!$A142="","",IF(H142&gt;='設定'!$B$4,"OK",IF(H142&gt;='設定'!$B$5,"注意","要改善"))),"")</f>
        <v/>
      </c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</row>
    <row r="143" ht="26.75" customHeight="1">
      <c r="A143" s="11">
        <f>IFERROR(IF('入力シート'!$A143="","",'入力シート'!A143),"")</f>
        <v/>
      </c>
      <c r="B143" s="11">
        <f>IFERROR(IF('入力シート'!$A143="","",'入力シート'!B143),"")</f>
        <v/>
      </c>
      <c r="C143" s="11">
        <f>IFERROR(IF('入力シート'!$A143="","",'入力シート'!C143),"")</f>
        <v/>
      </c>
      <c r="D143" s="11">
        <f>IFERROR(IF('入力シート'!$A143="","",'入力シート'!D143),"")</f>
        <v/>
      </c>
      <c r="E143" s="3">
        <f>IFERROR(IF('入力シート'!$A143="","",'入力シート'!I143),"")</f>
        <v/>
      </c>
      <c r="F143" s="3">
        <f>IFERROR(IF('入力シート'!$A143="","",'入力シート'!N143),"")</f>
        <v/>
      </c>
      <c r="G143" s="3">
        <f>IFERROR(IF('入力シート'!$A143="","",'入力シート'!O143),"")</f>
        <v/>
      </c>
      <c r="H143" s="17">
        <f>IFERROR(IF('入力シート'!$A143="","",'入力シート'!P143),"")</f>
        <v/>
      </c>
      <c r="I143" s="11">
        <f>IFERROR(IF('入力シート'!$A143="","",'入力シート'!Q143),"")</f>
        <v/>
      </c>
      <c r="J143" s="11">
        <f>IFERROR(IF('入力シート'!$A143="","",'入力シート'!R143),"")</f>
        <v/>
      </c>
      <c r="K143" s="11">
        <f>IFERROR(IF('入力シート'!$A143="","",IF(H143&gt;='設定'!$B$4,"OK",IF(H143&gt;='設定'!$B$5,"注意","要改善"))),"")</f>
        <v/>
      </c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</row>
    <row r="144" ht="26.75" customHeight="1">
      <c r="A144" s="11">
        <f>IFERROR(IF('入力シート'!$A144="","",'入力シート'!A144),"")</f>
        <v/>
      </c>
      <c r="B144" s="11">
        <f>IFERROR(IF('入力シート'!$A144="","",'入力シート'!B144),"")</f>
        <v/>
      </c>
      <c r="C144" s="11">
        <f>IFERROR(IF('入力シート'!$A144="","",'入力シート'!C144),"")</f>
        <v/>
      </c>
      <c r="D144" s="11">
        <f>IFERROR(IF('入力シート'!$A144="","",'入力シート'!D144),"")</f>
        <v/>
      </c>
      <c r="E144" s="3">
        <f>IFERROR(IF('入力シート'!$A144="","",'入力シート'!I144),"")</f>
        <v/>
      </c>
      <c r="F144" s="3">
        <f>IFERROR(IF('入力シート'!$A144="","",'入力シート'!N144),"")</f>
        <v/>
      </c>
      <c r="G144" s="3">
        <f>IFERROR(IF('入力シート'!$A144="","",'入力シート'!O144),"")</f>
        <v/>
      </c>
      <c r="H144" s="17">
        <f>IFERROR(IF('入力シート'!$A144="","",'入力シート'!P144),"")</f>
        <v/>
      </c>
      <c r="I144" s="11">
        <f>IFERROR(IF('入力シート'!$A144="","",'入力シート'!Q144),"")</f>
        <v/>
      </c>
      <c r="J144" s="11">
        <f>IFERROR(IF('入力シート'!$A144="","",'入力シート'!R144),"")</f>
        <v/>
      </c>
      <c r="K144" s="11">
        <f>IFERROR(IF('入力シート'!$A144="","",IF(H144&gt;='設定'!$B$4,"OK",IF(H144&gt;='設定'!$B$5,"注意","要改善"))),"")</f>
        <v/>
      </c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</row>
    <row r="145" ht="26.75" customHeight="1">
      <c r="A145" s="11">
        <f>IFERROR(IF('入力シート'!$A145="","",'入力シート'!A145),"")</f>
        <v/>
      </c>
      <c r="B145" s="11">
        <f>IFERROR(IF('入力シート'!$A145="","",'入力シート'!B145),"")</f>
        <v/>
      </c>
      <c r="C145" s="11">
        <f>IFERROR(IF('入力シート'!$A145="","",'入力シート'!C145),"")</f>
        <v/>
      </c>
      <c r="D145" s="11">
        <f>IFERROR(IF('入力シート'!$A145="","",'入力シート'!D145),"")</f>
        <v/>
      </c>
      <c r="E145" s="3">
        <f>IFERROR(IF('入力シート'!$A145="","",'入力シート'!I145),"")</f>
        <v/>
      </c>
      <c r="F145" s="3">
        <f>IFERROR(IF('入力シート'!$A145="","",'入力シート'!N145),"")</f>
        <v/>
      </c>
      <c r="G145" s="3">
        <f>IFERROR(IF('入力シート'!$A145="","",'入力シート'!O145),"")</f>
        <v/>
      </c>
      <c r="H145" s="17">
        <f>IFERROR(IF('入力シート'!$A145="","",'入力シート'!P145),"")</f>
        <v/>
      </c>
      <c r="I145" s="11">
        <f>IFERROR(IF('入力シート'!$A145="","",'入力シート'!Q145),"")</f>
        <v/>
      </c>
      <c r="J145" s="11">
        <f>IFERROR(IF('入力シート'!$A145="","",'入力シート'!R145),"")</f>
        <v/>
      </c>
      <c r="K145" s="11">
        <f>IFERROR(IF('入力シート'!$A145="","",IF(H145&gt;='設定'!$B$4,"OK",IF(H145&gt;='設定'!$B$5,"注意","要改善"))),"")</f>
        <v/>
      </c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</row>
    <row r="146" ht="26.75" customHeight="1">
      <c r="A146" s="11">
        <f>IFERROR(IF('入力シート'!$A146="","",'入力シート'!A146),"")</f>
        <v/>
      </c>
      <c r="B146" s="11">
        <f>IFERROR(IF('入力シート'!$A146="","",'入力シート'!B146),"")</f>
        <v/>
      </c>
      <c r="C146" s="11">
        <f>IFERROR(IF('入力シート'!$A146="","",'入力シート'!C146),"")</f>
        <v/>
      </c>
      <c r="D146" s="11">
        <f>IFERROR(IF('入力シート'!$A146="","",'入力シート'!D146),"")</f>
        <v/>
      </c>
      <c r="E146" s="3">
        <f>IFERROR(IF('入力シート'!$A146="","",'入力シート'!I146),"")</f>
        <v/>
      </c>
      <c r="F146" s="3">
        <f>IFERROR(IF('入力シート'!$A146="","",'入力シート'!N146),"")</f>
        <v/>
      </c>
      <c r="G146" s="3">
        <f>IFERROR(IF('入力シート'!$A146="","",'入力シート'!O146),"")</f>
        <v/>
      </c>
      <c r="H146" s="17">
        <f>IFERROR(IF('入力シート'!$A146="","",'入力シート'!P146),"")</f>
        <v/>
      </c>
      <c r="I146" s="11">
        <f>IFERROR(IF('入力シート'!$A146="","",'入力シート'!Q146),"")</f>
        <v/>
      </c>
      <c r="J146" s="11">
        <f>IFERROR(IF('入力シート'!$A146="","",'入力シート'!R146),"")</f>
        <v/>
      </c>
      <c r="K146" s="11">
        <f>IFERROR(IF('入力シート'!$A146="","",IF(H146&gt;='設定'!$B$4,"OK",IF(H146&gt;='設定'!$B$5,"注意","要改善"))),"")</f>
        <v/>
      </c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</row>
    <row r="147" ht="26.75" customHeight="1">
      <c r="A147" s="11">
        <f>IFERROR(IF('入力シート'!$A147="","",'入力シート'!A147),"")</f>
        <v/>
      </c>
      <c r="B147" s="11">
        <f>IFERROR(IF('入力シート'!$A147="","",'入力シート'!B147),"")</f>
        <v/>
      </c>
      <c r="C147" s="11">
        <f>IFERROR(IF('入力シート'!$A147="","",'入力シート'!C147),"")</f>
        <v/>
      </c>
      <c r="D147" s="11">
        <f>IFERROR(IF('入力シート'!$A147="","",'入力シート'!D147),"")</f>
        <v/>
      </c>
      <c r="E147" s="3">
        <f>IFERROR(IF('入力シート'!$A147="","",'入力シート'!I147),"")</f>
        <v/>
      </c>
      <c r="F147" s="3">
        <f>IFERROR(IF('入力シート'!$A147="","",'入力シート'!N147),"")</f>
        <v/>
      </c>
      <c r="G147" s="3">
        <f>IFERROR(IF('入力シート'!$A147="","",'入力シート'!O147),"")</f>
        <v/>
      </c>
      <c r="H147" s="17">
        <f>IFERROR(IF('入力シート'!$A147="","",'入力シート'!P147),"")</f>
        <v/>
      </c>
      <c r="I147" s="11">
        <f>IFERROR(IF('入力シート'!$A147="","",'入力シート'!Q147),"")</f>
        <v/>
      </c>
      <c r="J147" s="11">
        <f>IFERROR(IF('入力シート'!$A147="","",'入力シート'!R147),"")</f>
        <v/>
      </c>
      <c r="K147" s="11">
        <f>IFERROR(IF('入力シート'!$A147="","",IF(H147&gt;='設定'!$B$4,"OK",IF(H147&gt;='設定'!$B$5,"注意","要改善"))),"")</f>
        <v/>
      </c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</row>
    <row r="148" ht="26.75" customHeight="1">
      <c r="A148" s="11">
        <f>IFERROR(IF('入力シート'!$A148="","",'入力シート'!A148),"")</f>
        <v/>
      </c>
      <c r="B148" s="11">
        <f>IFERROR(IF('入力シート'!$A148="","",'入力シート'!B148),"")</f>
        <v/>
      </c>
      <c r="C148" s="11">
        <f>IFERROR(IF('入力シート'!$A148="","",'入力シート'!C148),"")</f>
        <v/>
      </c>
      <c r="D148" s="11">
        <f>IFERROR(IF('入力シート'!$A148="","",'入力シート'!D148),"")</f>
        <v/>
      </c>
      <c r="E148" s="3">
        <f>IFERROR(IF('入力シート'!$A148="","",'入力シート'!I148),"")</f>
        <v/>
      </c>
      <c r="F148" s="3">
        <f>IFERROR(IF('入力シート'!$A148="","",'入力シート'!N148),"")</f>
        <v/>
      </c>
      <c r="G148" s="3">
        <f>IFERROR(IF('入力シート'!$A148="","",'入力シート'!O148),"")</f>
        <v/>
      </c>
      <c r="H148" s="17">
        <f>IFERROR(IF('入力シート'!$A148="","",'入力シート'!P148),"")</f>
        <v/>
      </c>
      <c r="I148" s="11">
        <f>IFERROR(IF('入力シート'!$A148="","",'入力シート'!Q148),"")</f>
        <v/>
      </c>
      <c r="J148" s="11">
        <f>IFERROR(IF('入力シート'!$A148="","",'入力シート'!R148),"")</f>
        <v/>
      </c>
      <c r="K148" s="11">
        <f>IFERROR(IF('入力シート'!$A148="","",IF(H148&gt;='設定'!$B$4,"OK",IF(H148&gt;='設定'!$B$5,"注意","要改善"))),"")</f>
        <v/>
      </c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</row>
    <row r="149" ht="26.75" customHeight="1">
      <c r="A149" s="11">
        <f>IFERROR(IF('入力シート'!$A149="","",'入力シート'!A149),"")</f>
        <v/>
      </c>
      <c r="B149" s="11">
        <f>IFERROR(IF('入力シート'!$A149="","",'入力シート'!B149),"")</f>
        <v/>
      </c>
      <c r="C149" s="11">
        <f>IFERROR(IF('入力シート'!$A149="","",'入力シート'!C149),"")</f>
        <v/>
      </c>
      <c r="D149" s="11">
        <f>IFERROR(IF('入力シート'!$A149="","",'入力シート'!D149),"")</f>
        <v/>
      </c>
      <c r="E149" s="3">
        <f>IFERROR(IF('入力シート'!$A149="","",'入力シート'!I149),"")</f>
        <v/>
      </c>
      <c r="F149" s="3">
        <f>IFERROR(IF('入力シート'!$A149="","",'入力シート'!N149),"")</f>
        <v/>
      </c>
      <c r="G149" s="3">
        <f>IFERROR(IF('入力シート'!$A149="","",'入力シート'!O149),"")</f>
        <v/>
      </c>
      <c r="H149" s="17">
        <f>IFERROR(IF('入力シート'!$A149="","",'入力シート'!P149),"")</f>
        <v/>
      </c>
      <c r="I149" s="11">
        <f>IFERROR(IF('入力シート'!$A149="","",'入力シート'!Q149),"")</f>
        <v/>
      </c>
      <c r="J149" s="11">
        <f>IFERROR(IF('入力シート'!$A149="","",'入力シート'!R149),"")</f>
        <v/>
      </c>
      <c r="K149" s="11">
        <f>IFERROR(IF('入力シート'!$A149="","",IF(H149&gt;='設定'!$B$4,"OK",IF(H149&gt;='設定'!$B$5,"注意","要改善"))),"")</f>
        <v/>
      </c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</row>
    <row r="150" ht="26.75" customHeight="1">
      <c r="A150" s="11">
        <f>IFERROR(IF('入力シート'!$A150="","",'入力シート'!A150),"")</f>
        <v/>
      </c>
      <c r="B150" s="11">
        <f>IFERROR(IF('入力シート'!$A150="","",'入力シート'!B150),"")</f>
        <v/>
      </c>
      <c r="C150" s="11">
        <f>IFERROR(IF('入力シート'!$A150="","",'入力シート'!C150),"")</f>
        <v/>
      </c>
      <c r="D150" s="11">
        <f>IFERROR(IF('入力シート'!$A150="","",'入力シート'!D150),"")</f>
        <v/>
      </c>
      <c r="E150" s="3">
        <f>IFERROR(IF('入力シート'!$A150="","",'入力シート'!I150),"")</f>
        <v/>
      </c>
      <c r="F150" s="3">
        <f>IFERROR(IF('入力シート'!$A150="","",'入力シート'!N150),"")</f>
        <v/>
      </c>
      <c r="G150" s="3">
        <f>IFERROR(IF('入力シート'!$A150="","",'入力シート'!O150),"")</f>
        <v/>
      </c>
      <c r="H150" s="17">
        <f>IFERROR(IF('入力シート'!$A150="","",'入力シート'!P150),"")</f>
        <v/>
      </c>
      <c r="I150" s="11">
        <f>IFERROR(IF('入力シート'!$A150="","",'入力シート'!Q150),"")</f>
        <v/>
      </c>
      <c r="J150" s="11">
        <f>IFERROR(IF('入力シート'!$A150="","",'入力シート'!R150),"")</f>
        <v/>
      </c>
      <c r="K150" s="11">
        <f>IFERROR(IF('入力シート'!$A150="","",IF(H150&gt;='設定'!$B$4,"OK",IF(H150&gt;='設定'!$B$5,"注意","要改善"))),"")</f>
        <v/>
      </c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</row>
    <row r="151" ht="26.75" customHeight="1">
      <c r="A151" s="11">
        <f>IFERROR(IF('入力シート'!$A151="","",'入力シート'!A151),"")</f>
        <v/>
      </c>
      <c r="B151" s="11">
        <f>IFERROR(IF('入力シート'!$A151="","",'入力シート'!B151),"")</f>
        <v/>
      </c>
      <c r="C151" s="11">
        <f>IFERROR(IF('入力シート'!$A151="","",'入力シート'!C151),"")</f>
        <v/>
      </c>
      <c r="D151" s="11">
        <f>IFERROR(IF('入力シート'!$A151="","",'入力シート'!D151),"")</f>
        <v/>
      </c>
      <c r="E151" s="3">
        <f>IFERROR(IF('入力シート'!$A151="","",'入力シート'!I151),"")</f>
        <v/>
      </c>
      <c r="F151" s="3">
        <f>IFERROR(IF('入力シート'!$A151="","",'入力シート'!N151),"")</f>
        <v/>
      </c>
      <c r="G151" s="3">
        <f>IFERROR(IF('入力シート'!$A151="","",'入力シート'!O151),"")</f>
        <v/>
      </c>
      <c r="H151" s="17">
        <f>IFERROR(IF('入力シート'!$A151="","",'入力シート'!P151),"")</f>
        <v/>
      </c>
      <c r="I151" s="11">
        <f>IFERROR(IF('入力シート'!$A151="","",'入力シート'!Q151),"")</f>
        <v/>
      </c>
      <c r="J151" s="11">
        <f>IFERROR(IF('入力シート'!$A151="","",'入力シート'!R151),"")</f>
        <v/>
      </c>
      <c r="K151" s="11">
        <f>IFERROR(IF('入力シート'!$A151="","",IF(H151&gt;='設定'!$B$4,"OK",IF(H151&gt;='設定'!$B$5,"注意","要改善"))),"")</f>
        <v/>
      </c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</row>
    <row r="152" ht="26.75" customHeight="1">
      <c r="A152" s="11">
        <f>IFERROR(IF('入力シート'!$A152="","",'入力シート'!A152),"")</f>
        <v/>
      </c>
      <c r="B152" s="11">
        <f>IFERROR(IF('入力シート'!$A152="","",'入力シート'!B152),"")</f>
        <v/>
      </c>
      <c r="C152" s="11">
        <f>IFERROR(IF('入力シート'!$A152="","",'入力シート'!C152),"")</f>
        <v/>
      </c>
      <c r="D152" s="11">
        <f>IFERROR(IF('入力シート'!$A152="","",'入力シート'!D152),"")</f>
        <v/>
      </c>
      <c r="E152" s="3">
        <f>IFERROR(IF('入力シート'!$A152="","",'入力シート'!I152),"")</f>
        <v/>
      </c>
      <c r="F152" s="3">
        <f>IFERROR(IF('入力シート'!$A152="","",'入力シート'!N152),"")</f>
        <v/>
      </c>
      <c r="G152" s="3">
        <f>IFERROR(IF('入力シート'!$A152="","",'入力シート'!O152),"")</f>
        <v/>
      </c>
      <c r="H152" s="17">
        <f>IFERROR(IF('入力シート'!$A152="","",'入力シート'!P152),"")</f>
        <v/>
      </c>
      <c r="I152" s="11">
        <f>IFERROR(IF('入力シート'!$A152="","",'入力シート'!Q152),"")</f>
        <v/>
      </c>
      <c r="J152" s="11">
        <f>IFERROR(IF('入力シート'!$A152="","",'入力シート'!R152),"")</f>
        <v/>
      </c>
      <c r="K152" s="11">
        <f>IFERROR(IF('入力シート'!$A152="","",IF(H152&gt;='設定'!$B$4,"OK",IF(H152&gt;='設定'!$B$5,"注意","要改善"))),"")</f>
        <v/>
      </c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</row>
    <row r="153" ht="26.75" customHeight="1">
      <c r="A153" s="11">
        <f>IFERROR(IF('入力シート'!$A153="","",'入力シート'!A153),"")</f>
        <v/>
      </c>
      <c r="B153" s="11">
        <f>IFERROR(IF('入力シート'!$A153="","",'入力シート'!B153),"")</f>
        <v/>
      </c>
      <c r="C153" s="11">
        <f>IFERROR(IF('入力シート'!$A153="","",'入力シート'!C153),"")</f>
        <v/>
      </c>
      <c r="D153" s="11">
        <f>IFERROR(IF('入力シート'!$A153="","",'入力シート'!D153),"")</f>
        <v/>
      </c>
      <c r="E153" s="3">
        <f>IFERROR(IF('入力シート'!$A153="","",'入力シート'!I153),"")</f>
        <v/>
      </c>
      <c r="F153" s="3">
        <f>IFERROR(IF('入力シート'!$A153="","",'入力シート'!N153),"")</f>
        <v/>
      </c>
      <c r="G153" s="3">
        <f>IFERROR(IF('入力シート'!$A153="","",'入力シート'!O153),"")</f>
        <v/>
      </c>
      <c r="H153" s="17">
        <f>IFERROR(IF('入力シート'!$A153="","",'入力シート'!P153),"")</f>
        <v/>
      </c>
      <c r="I153" s="11">
        <f>IFERROR(IF('入力シート'!$A153="","",'入力シート'!Q153),"")</f>
        <v/>
      </c>
      <c r="J153" s="11">
        <f>IFERROR(IF('入力シート'!$A153="","",'入力シート'!R153),"")</f>
        <v/>
      </c>
      <c r="K153" s="11">
        <f>IFERROR(IF('入力シート'!$A153="","",IF(H153&gt;='設定'!$B$4,"OK",IF(H153&gt;='設定'!$B$5,"注意","要改善"))),"")</f>
        <v/>
      </c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</row>
    <row r="154" ht="26.75" customHeight="1">
      <c r="A154" s="11">
        <f>IFERROR(IF('入力シート'!$A154="","",'入力シート'!A154),"")</f>
        <v/>
      </c>
      <c r="B154" s="11">
        <f>IFERROR(IF('入力シート'!$A154="","",'入力シート'!B154),"")</f>
        <v/>
      </c>
      <c r="C154" s="11">
        <f>IFERROR(IF('入力シート'!$A154="","",'入力シート'!C154),"")</f>
        <v/>
      </c>
      <c r="D154" s="11">
        <f>IFERROR(IF('入力シート'!$A154="","",'入力シート'!D154),"")</f>
        <v/>
      </c>
      <c r="E154" s="3">
        <f>IFERROR(IF('入力シート'!$A154="","",'入力シート'!I154),"")</f>
        <v/>
      </c>
      <c r="F154" s="3">
        <f>IFERROR(IF('入力シート'!$A154="","",'入力シート'!N154),"")</f>
        <v/>
      </c>
      <c r="G154" s="3">
        <f>IFERROR(IF('入力シート'!$A154="","",'入力シート'!O154),"")</f>
        <v/>
      </c>
      <c r="H154" s="17">
        <f>IFERROR(IF('入力シート'!$A154="","",'入力シート'!P154),"")</f>
        <v/>
      </c>
      <c r="I154" s="11">
        <f>IFERROR(IF('入力シート'!$A154="","",'入力シート'!Q154),"")</f>
        <v/>
      </c>
      <c r="J154" s="11">
        <f>IFERROR(IF('入力シート'!$A154="","",'入力シート'!R154),"")</f>
        <v/>
      </c>
      <c r="K154" s="11">
        <f>IFERROR(IF('入力シート'!$A154="","",IF(H154&gt;='設定'!$B$4,"OK",IF(H154&gt;='設定'!$B$5,"注意","要改善"))),"")</f>
        <v/>
      </c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</row>
    <row r="155" ht="26.75" customHeight="1">
      <c r="A155" s="11">
        <f>IFERROR(IF('入力シート'!$A155="","",'入力シート'!A155),"")</f>
        <v/>
      </c>
      <c r="B155" s="11">
        <f>IFERROR(IF('入力シート'!$A155="","",'入力シート'!B155),"")</f>
        <v/>
      </c>
      <c r="C155" s="11">
        <f>IFERROR(IF('入力シート'!$A155="","",'入力シート'!C155),"")</f>
        <v/>
      </c>
      <c r="D155" s="11">
        <f>IFERROR(IF('入力シート'!$A155="","",'入力シート'!D155),"")</f>
        <v/>
      </c>
      <c r="E155" s="3">
        <f>IFERROR(IF('入力シート'!$A155="","",'入力シート'!I155),"")</f>
        <v/>
      </c>
      <c r="F155" s="3">
        <f>IFERROR(IF('入力シート'!$A155="","",'入力シート'!N155),"")</f>
        <v/>
      </c>
      <c r="G155" s="3">
        <f>IFERROR(IF('入力シート'!$A155="","",'入力シート'!O155),"")</f>
        <v/>
      </c>
      <c r="H155" s="17">
        <f>IFERROR(IF('入力シート'!$A155="","",'入力シート'!P155),"")</f>
        <v/>
      </c>
      <c r="I155" s="11">
        <f>IFERROR(IF('入力シート'!$A155="","",'入力シート'!Q155),"")</f>
        <v/>
      </c>
      <c r="J155" s="11">
        <f>IFERROR(IF('入力シート'!$A155="","",'入力シート'!R155),"")</f>
        <v/>
      </c>
      <c r="K155" s="11">
        <f>IFERROR(IF('入力シート'!$A155="","",IF(H155&gt;='設定'!$B$4,"OK",IF(H155&gt;='設定'!$B$5,"注意","要改善"))),"")</f>
        <v/>
      </c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</row>
    <row r="156" ht="26.75" customHeight="1">
      <c r="A156" s="11">
        <f>IFERROR(IF('入力シート'!$A156="","",'入力シート'!A156),"")</f>
        <v/>
      </c>
      <c r="B156" s="11">
        <f>IFERROR(IF('入力シート'!$A156="","",'入力シート'!B156),"")</f>
        <v/>
      </c>
      <c r="C156" s="11">
        <f>IFERROR(IF('入力シート'!$A156="","",'入力シート'!C156),"")</f>
        <v/>
      </c>
      <c r="D156" s="11">
        <f>IFERROR(IF('入力シート'!$A156="","",'入力シート'!D156),"")</f>
        <v/>
      </c>
      <c r="E156" s="3">
        <f>IFERROR(IF('入力シート'!$A156="","",'入力シート'!I156),"")</f>
        <v/>
      </c>
      <c r="F156" s="3">
        <f>IFERROR(IF('入力シート'!$A156="","",'入力シート'!N156),"")</f>
        <v/>
      </c>
      <c r="G156" s="3">
        <f>IFERROR(IF('入力シート'!$A156="","",'入力シート'!O156),"")</f>
        <v/>
      </c>
      <c r="H156" s="17">
        <f>IFERROR(IF('入力シート'!$A156="","",'入力シート'!P156),"")</f>
        <v/>
      </c>
      <c r="I156" s="11">
        <f>IFERROR(IF('入力シート'!$A156="","",'入力シート'!Q156),"")</f>
        <v/>
      </c>
      <c r="J156" s="11">
        <f>IFERROR(IF('入力シート'!$A156="","",'入力シート'!R156),"")</f>
        <v/>
      </c>
      <c r="K156" s="11">
        <f>IFERROR(IF('入力シート'!$A156="","",IF(H156&gt;='設定'!$B$4,"OK",IF(H156&gt;='設定'!$B$5,"注意","要改善"))),"")</f>
        <v/>
      </c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</row>
    <row r="157" ht="26.75" customHeight="1">
      <c r="A157" s="11">
        <f>IFERROR(IF('入力シート'!$A157="","",'入力シート'!A157),"")</f>
        <v/>
      </c>
      <c r="B157" s="11">
        <f>IFERROR(IF('入力シート'!$A157="","",'入力シート'!B157),"")</f>
        <v/>
      </c>
      <c r="C157" s="11">
        <f>IFERROR(IF('入力シート'!$A157="","",'入力シート'!C157),"")</f>
        <v/>
      </c>
      <c r="D157" s="11">
        <f>IFERROR(IF('入力シート'!$A157="","",'入力シート'!D157),"")</f>
        <v/>
      </c>
      <c r="E157" s="3">
        <f>IFERROR(IF('入力シート'!$A157="","",'入力シート'!I157),"")</f>
        <v/>
      </c>
      <c r="F157" s="3">
        <f>IFERROR(IF('入力シート'!$A157="","",'入力シート'!N157),"")</f>
        <v/>
      </c>
      <c r="G157" s="3">
        <f>IFERROR(IF('入力シート'!$A157="","",'入力シート'!O157),"")</f>
        <v/>
      </c>
      <c r="H157" s="17">
        <f>IFERROR(IF('入力シート'!$A157="","",'入力シート'!P157),"")</f>
        <v/>
      </c>
      <c r="I157" s="11">
        <f>IFERROR(IF('入力シート'!$A157="","",'入力シート'!Q157),"")</f>
        <v/>
      </c>
      <c r="J157" s="11">
        <f>IFERROR(IF('入力シート'!$A157="","",'入力シート'!R157),"")</f>
        <v/>
      </c>
      <c r="K157" s="11">
        <f>IFERROR(IF('入力シート'!$A157="","",IF(H157&gt;='設定'!$B$4,"OK",IF(H157&gt;='設定'!$B$5,"注意","要改善"))),"")</f>
        <v/>
      </c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</row>
    <row r="158" ht="26.75" customHeight="1">
      <c r="A158" s="11">
        <f>IFERROR(IF('入力シート'!$A158="","",'入力シート'!A158),"")</f>
        <v/>
      </c>
      <c r="B158" s="11">
        <f>IFERROR(IF('入力シート'!$A158="","",'入力シート'!B158),"")</f>
        <v/>
      </c>
      <c r="C158" s="11">
        <f>IFERROR(IF('入力シート'!$A158="","",'入力シート'!C158),"")</f>
        <v/>
      </c>
      <c r="D158" s="11">
        <f>IFERROR(IF('入力シート'!$A158="","",'入力シート'!D158),"")</f>
        <v/>
      </c>
      <c r="E158" s="3">
        <f>IFERROR(IF('入力シート'!$A158="","",'入力シート'!I158),"")</f>
        <v/>
      </c>
      <c r="F158" s="3">
        <f>IFERROR(IF('入力シート'!$A158="","",'入力シート'!N158),"")</f>
        <v/>
      </c>
      <c r="G158" s="3">
        <f>IFERROR(IF('入力シート'!$A158="","",'入力シート'!O158),"")</f>
        <v/>
      </c>
      <c r="H158" s="17">
        <f>IFERROR(IF('入力シート'!$A158="","",'入力シート'!P158),"")</f>
        <v/>
      </c>
      <c r="I158" s="11">
        <f>IFERROR(IF('入力シート'!$A158="","",'入力シート'!Q158),"")</f>
        <v/>
      </c>
      <c r="J158" s="11">
        <f>IFERROR(IF('入力シート'!$A158="","",'入力シート'!R158),"")</f>
        <v/>
      </c>
      <c r="K158" s="11">
        <f>IFERROR(IF('入力シート'!$A158="","",IF(H158&gt;='設定'!$B$4,"OK",IF(H158&gt;='設定'!$B$5,"注意","要改善"))),"")</f>
        <v/>
      </c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</row>
    <row r="159" ht="26.75" customHeight="1">
      <c r="A159" s="11">
        <f>IFERROR(IF('入力シート'!$A159="","",'入力シート'!A159),"")</f>
        <v/>
      </c>
      <c r="B159" s="11">
        <f>IFERROR(IF('入力シート'!$A159="","",'入力シート'!B159),"")</f>
        <v/>
      </c>
      <c r="C159" s="11">
        <f>IFERROR(IF('入力シート'!$A159="","",'入力シート'!C159),"")</f>
        <v/>
      </c>
      <c r="D159" s="11">
        <f>IFERROR(IF('入力シート'!$A159="","",'入力シート'!D159),"")</f>
        <v/>
      </c>
      <c r="E159" s="3">
        <f>IFERROR(IF('入力シート'!$A159="","",'入力シート'!I159),"")</f>
        <v/>
      </c>
      <c r="F159" s="3">
        <f>IFERROR(IF('入力シート'!$A159="","",'入力シート'!N159),"")</f>
        <v/>
      </c>
      <c r="G159" s="3">
        <f>IFERROR(IF('入力シート'!$A159="","",'入力シート'!O159),"")</f>
        <v/>
      </c>
      <c r="H159" s="17">
        <f>IFERROR(IF('入力シート'!$A159="","",'入力シート'!P159),"")</f>
        <v/>
      </c>
      <c r="I159" s="11">
        <f>IFERROR(IF('入力シート'!$A159="","",'入力シート'!Q159),"")</f>
        <v/>
      </c>
      <c r="J159" s="11">
        <f>IFERROR(IF('入力シート'!$A159="","",'入力シート'!R159),"")</f>
        <v/>
      </c>
      <c r="K159" s="11">
        <f>IFERROR(IF('入力シート'!$A159="","",IF(H159&gt;='設定'!$B$4,"OK",IF(H159&gt;='設定'!$B$5,"注意","要改善"))),"")</f>
        <v/>
      </c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</row>
    <row r="160" ht="26.75" customHeight="1">
      <c r="A160" s="11">
        <f>IFERROR(IF('入力シート'!$A160="","",'入力シート'!A160),"")</f>
        <v/>
      </c>
      <c r="B160" s="11">
        <f>IFERROR(IF('入力シート'!$A160="","",'入力シート'!B160),"")</f>
        <v/>
      </c>
      <c r="C160" s="11">
        <f>IFERROR(IF('入力シート'!$A160="","",'入力シート'!C160),"")</f>
        <v/>
      </c>
      <c r="D160" s="11">
        <f>IFERROR(IF('入力シート'!$A160="","",'入力シート'!D160),"")</f>
        <v/>
      </c>
      <c r="E160" s="3">
        <f>IFERROR(IF('入力シート'!$A160="","",'入力シート'!I160),"")</f>
        <v/>
      </c>
      <c r="F160" s="3">
        <f>IFERROR(IF('入力シート'!$A160="","",'入力シート'!N160),"")</f>
        <v/>
      </c>
      <c r="G160" s="3">
        <f>IFERROR(IF('入力シート'!$A160="","",'入力シート'!O160),"")</f>
        <v/>
      </c>
      <c r="H160" s="17">
        <f>IFERROR(IF('入力シート'!$A160="","",'入力シート'!P160),"")</f>
        <v/>
      </c>
      <c r="I160" s="11">
        <f>IFERROR(IF('入力シート'!$A160="","",'入力シート'!Q160),"")</f>
        <v/>
      </c>
      <c r="J160" s="11">
        <f>IFERROR(IF('入力シート'!$A160="","",'入力シート'!R160),"")</f>
        <v/>
      </c>
      <c r="K160" s="11">
        <f>IFERROR(IF('入力シート'!$A160="","",IF(H160&gt;='設定'!$B$4,"OK",IF(H160&gt;='設定'!$B$5,"注意","要改善"))),"")</f>
        <v/>
      </c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</row>
    <row r="161" ht="26.75" customHeight="1">
      <c r="A161" s="11">
        <f>IFERROR(IF('入力シート'!$A161="","",'入力シート'!A161),"")</f>
        <v/>
      </c>
      <c r="B161" s="11">
        <f>IFERROR(IF('入力シート'!$A161="","",'入力シート'!B161),"")</f>
        <v/>
      </c>
      <c r="C161" s="11">
        <f>IFERROR(IF('入力シート'!$A161="","",'入力シート'!C161),"")</f>
        <v/>
      </c>
      <c r="D161" s="11">
        <f>IFERROR(IF('入力シート'!$A161="","",'入力シート'!D161),"")</f>
        <v/>
      </c>
      <c r="E161" s="3">
        <f>IFERROR(IF('入力シート'!$A161="","",'入力シート'!I161),"")</f>
        <v/>
      </c>
      <c r="F161" s="3">
        <f>IFERROR(IF('入力シート'!$A161="","",'入力シート'!N161),"")</f>
        <v/>
      </c>
      <c r="G161" s="3">
        <f>IFERROR(IF('入力シート'!$A161="","",'入力シート'!O161),"")</f>
        <v/>
      </c>
      <c r="H161" s="17">
        <f>IFERROR(IF('入力シート'!$A161="","",'入力シート'!P161),"")</f>
        <v/>
      </c>
      <c r="I161" s="11">
        <f>IFERROR(IF('入力シート'!$A161="","",'入力シート'!Q161),"")</f>
        <v/>
      </c>
      <c r="J161" s="11">
        <f>IFERROR(IF('入力シート'!$A161="","",'入力シート'!R161),"")</f>
        <v/>
      </c>
      <c r="K161" s="11">
        <f>IFERROR(IF('入力シート'!$A161="","",IF(H161&gt;='設定'!$B$4,"OK",IF(H161&gt;='設定'!$B$5,"注意","要改善"))),"")</f>
        <v/>
      </c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</row>
    <row r="162" ht="26.75" customHeight="1">
      <c r="A162" s="11">
        <f>IFERROR(IF('入力シート'!$A162="","",'入力シート'!A162),"")</f>
        <v/>
      </c>
      <c r="B162" s="11">
        <f>IFERROR(IF('入力シート'!$A162="","",'入力シート'!B162),"")</f>
        <v/>
      </c>
      <c r="C162" s="11">
        <f>IFERROR(IF('入力シート'!$A162="","",'入力シート'!C162),"")</f>
        <v/>
      </c>
      <c r="D162" s="11">
        <f>IFERROR(IF('入力シート'!$A162="","",'入力シート'!D162),"")</f>
        <v/>
      </c>
      <c r="E162" s="3">
        <f>IFERROR(IF('入力シート'!$A162="","",'入力シート'!I162),"")</f>
        <v/>
      </c>
      <c r="F162" s="3">
        <f>IFERROR(IF('入力シート'!$A162="","",'入力シート'!N162),"")</f>
        <v/>
      </c>
      <c r="G162" s="3">
        <f>IFERROR(IF('入力シート'!$A162="","",'入力シート'!O162),"")</f>
        <v/>
      </c>
      <c r="H162" s="17">
        <f>IFERROR(IF('入力シート'!$A162="","",'入力シート'!P162),"")</f>
        <v/>
      </c>
      <c r="I162" s="11">
        <f>IFERROR(IF('入力シート'!$A162="","",'入力シート'!Q162),"")</f>
        <v/>
      </c>
      <c r="J162" s="11">
        <f>IFERROR(IF('入力シート'!$A162="","",'入力シート'!R162),"")</f>
        <v/>
      </c>
      <c r="K162" s="11">
        <f>IFERROR(IF('入力シート'!$A162="","",IF(H162&gt;='設定'!$B$4,"OK",IF(H162&gt;='設定'!$B$5,"注意","要改善"))),"")</f>
        <v/>
      </c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</row>
    <row r="163" ht="26.75" customHeight="1">
      <c r="A163" s="11">
        <f>IFERROR(IF('入力シート'!$A163="","",'入力シート'!A163),"")</f>
        <v/>
      </c>
      <c r="B163" s="11">
        <f>IFERROR(IF('入力シート'!$A163="","",'入力シート'!B163),"")</f>
        <v/>
      </c>
      <c r="C163" s="11">
        <f>IFERROR(IF('入力シート'!$A163="","",'入力シート'!C163),"")</f>
        <v/>
      </c>
      <c r="D163" s="11">
        <f>IFERROR(IF('入力シート'!$A163="","",'入力シート'!D163),"")</f>
        <v/>
      </c>
      <c r="E163" s="3">
        <f>IFERROR(IF('入力シート'!$A163="","",'入力シート'!I163),"")</f>
        <v/>
      </c>
      <c r="F163" s="3">
        <f>IFERROR(IF('入力シート'!$A163="","",'入力シート'!N163),"")</f>
        <v/>
      </c>
      <c r="G163" s="3">
        <f>IFERROR(IF('入力シート'!$A163="","",'入力シート'!O163),"")</f>
        <v/>
      </c>
      <c r="H163" s="17">
        <f>IFERROR(IF('入力シート'!$A163="","",'入力シート'!P163),"")</f>
        <v/>
      </c>
      <c r="I163" s="11">
        <f>IFERROR(IF('入力シート'!$A163="","",'入力シート'!Q163),"")</f>
        <v/>
      </c>
      <c r="J163" s="11">
        <f>IFERROR(IF('入力シート'!$A163="","",'入力シート'!R163),"")</f>
        <v/>
      </c>
      <c r="K163" s="11">
        <f>IFERROR(IF('入力シート'!$A163="","",IF(H163&gt;='設定'!$B$4,"OK",IF(H163&gt;='設定'!$B$5,"注意","要改善"))),"")</f>
        <v/>
      </c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</row>
    <row r="164" ht="26.75" customHeight="1">
      <c r="A164" s="11">
        <f>IFERROR(IF('入力シート'!$A164="","",'入力シート'!A164),"")</f>
        <v/>
      </c>
      <c r="B164" s="11">
        <f>IFERROR(IF('入力シート'!$A164="","",'入力シート'!B164),"")</f>
        <v/>
      </c>
      <c r="C164" s="11">
        <f>IFERROR(IF('入力シート'!$A164="","",'入力シート'!C164),"")</f>
        <v/>
      </c>
      <c r="D164" s="11">
        <f>IFERROR(IF('入力シート'!$A164="","",'入力シート'!D164),"")</f>
        <v/>
      </c>
      <c r="E164" s="3">
        <f>IFERROR(IF('入力シート'!$A164="","",'入力シート'!I164),"")</f>
        <v/>
      </c>
      <c r="F164" s="3">
        <f>IFERROR(IF('入力シート'!$A164="","",'入力シート'!N164),"")</f>
        <v/>
      </c>
      <c r="G164" s="3">
        <f>IFERROR(IF('入力シート'!$A164="","",'入力シート'!O164),"")</f>
        <v/>
      </c>
      <c r="H164" s="17">
        <f>IFERROR(IF('入力シート'!$A164="","",'入力シート'!P164),"")</f>
        <v/>
      </c>
      <c r="I164" s="11">
        <f>IFERROR(IF('入力シート'!$A164="","",'入力シート'!Q164),"")</f>
        <v/>
      </c>
      <c r="J164" s="11">
        <f>IFERROR(IF('入力シート'!$A164="","",'入力シート'!R164),"")</f>
        <v/>
      </c>
      <c r="K164" s="11">
        <f>IFERROR(IF('入力シート'!$A164="","",IF(H164&gt;='設定'!$B$4,"OK",IF(H164&gt;='設定'!$B$5,"注意","要改善"))),"")</f>
        <v/>
      </c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</row>
    <row r="165" ht="26.75" customHeight="1">
      <c r="A165" s="11">
        <f>IFERROR(IF('入力シート'!$A165="","",'入力シート'!A165),"")</f>
        <v/>
      </c>
      <c r="B165" s="11">
        <f>IFERROR(IF('入力シート'!$A165="","",'入力シート'!B165),"")</f>
        <v/>
      </c>
      <c r="C165" s="11">
        <f>IFERROR(IF('入力シート'!$A165="","",'入力シート'!C165),"")</f>
        <v/>
      </c>
      <c r="D165" s="11">
        <f>IFERROR(IF('入力シート'!$A165="","",'入力シート'!D165),"")</f>
        <v/>
      </c>
      <c r="E165" s="3">
        <f>IFERROR(IF('入力シート'!$A165="","",'入力シート'!I165),"")</f>
        <v/>
      </c>
      <c r="F165" s="3">
        <f>IFERROR(IF('入力シート'!$A165="","",'入力シート'!N165),"")</f>
        <v/>
      </c>
      <c r="G165" s="3">
        <f>IFERROR(IF('入力シート'!$A165="","",'入力シート'!O165),"")</f>
        <v/>
      </c>
      <c r="H165" s="17">
        <f>IFERROR(IF('入力シート'!$A165="","",'入力シート'!P165),"")</f>
        <v/>
      </c>
      <c r="I165" s="11">
        <f>IFERROR(IF('入力シート'!$A165="","",'入力シート'!Q165),"")</f>
        <v/>
      </c>
      <c r="J165" s="11">
        <f>IFERROR(IF('入力シート'!$A165="","",'入力シート'!R165),"")</f>
        <v/>
      </c>
      <c r="K165" s="11">
        <f>IFERROR(IF('入力シート'!$A165="","",IF(H165&gt;='設定'!$B$4,"OK",IF(H165&gt;='設定'!$B$5,"注意","要改善"))),"")</f>
        <v/>
      </c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</row>
    <row r="166" ht="26.75" customHeight="1">
      <c r="A166" s="11">
        <f>IFERROR(IF('入力シート'!$A166="","",'入力シート'!A166),"")</f>
        <v/>
      </c>
      <c r="B166" s="11">
        <f>IFERROR(IF('入力シート'!$A166="","",'入力シート'!B166),"")</f>
        <v/>
      </c>
      <c r="C166" s="11">
        <f>IFERROR(IF('入力シート'!$A166="","",'入力シート'!C166),"")</f>
        <v/>
      </c>
      <c r="D166" s="11">
        <f>IFERROR(IF('入力シート'!$A166="","",'入力シート'!D166),"")</f>
        <v/>
      </c>
      <c r="E166" s="3">
        <f>IFERROR(IF('入力シート'!$A166="","",'入力シート'!I166),"")</f>
        <v/>
      </c>
      <c r="F166" s="3">
        <f>IFERROR(IF('入力シート'!$A166="","",'入力シート'!N166),"")</f>
        <v/>
      </c>
      <c r="G166" s="3">
        <f>IFERROR(IF('入力シート'!$A166="","",'入力シート'!O166),"")</f>
        <v/>
      </c>
      <c r="H166" s="17">
        <f>IFERROR(IF('入力シート'!$A166="","",'入力シート'!P166),"")</f>
        <v/>
      </c>
      <c r="I166" s="11">
        <f>IFERROR(IF('入力シート'!$A166="","",'入力シート'!Q166),"")</f>
        <v/>
      </c>
      <c r="J166" s="11">
        <f>IFERROR(IF('入力シート'!$A166="","",'入力シート'!R166),"")</f>
        <v/>
      </c>
      <c r="K166" s="11">
        <f>IFERROR(IF('入力シート'!$A166="","",IF(H166&gt;='設定'!$B$4,"OK",IF(H166&gt;='設定'!$B$5,"注意","要改善"))),"")</f>
        <v/>
      </c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</row>
    <row r="167" ht="26.75" customHeight="1">
      <c r="A167" s="11">
        <f>IFERROR(IF('入力シート'!$A167="","",'入力シート'!A167),"")</f>
        <v/>
      </c>
      <c r="B167" s="11">
        <f>IFERROR(IF('入力シート'!$A167="","",'入力シート'!B167),"")</f>
        <v/>
      </c>
      <c r="C167" s="11">
        <f>IFERROR(IF('入力シート'!$A167="","",'入力シート'!C167),"")</f>
        <v/>
      </c>
      <c r="D167" s="11">
        <f>IFERROR(IF('入力シート'!$A167="","",'入力シート'!D167),"")</f>
        <v/>
      </c>
      <c r="E167" s="3">
        <f>IFERROR(IF('入力シート'!$A167="","",'入力シート'!I167),"")</f>
        <v/>
      </c>
      <c r="F167" s="3">
        <f>IFERROR(IF('入力シート'!$A167="","",'入力シート'!N167),"")</f>
        <v/>
      </c>
      <c r="G167" s="3">
        <f>IFERROR(IF('入力シート'!$A167="","",'入力シート'!O167),"")</f>
        <v/>
      </c>
      <c r="H167" s="17">
        <f>IFERROR(IF('入力シート'!$A167="","",'入力シート'!P167),"")</f>
        <v/>
      </c>
      <c r="I167" s="11">
        <f>IFERROR(IF('入力シート'!$A167="","",'入力シート'!Q167),"")</f>
        <v/>
      </c>
      <c r="J167" s="11">
        <f>IFERROR(IF('入力シート'!$A167="","",'入力シート'!R167),"")</f>
        <v/>
      </c>
      <c r="K167" s="11">
        <f>IFERROR(IF('入力シート'!$A167="","",IF(H167&gt;='設定'!$B$4,"OK",IF(H167&gt;='設定'!$B$5,"注意","要改善"))),"")</f>
        <v/>
      </c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</row>
    <row r="168" ht="26.75" customHeight="1">
      <c r="A168" s="11">
        <f>IFERROR(IF('入力シート'!$A168="","",'入力シート'!A168),"")</f>
        <v/>
      </c>
      <c r="B168" s="11">
        <f>IFERROR(IF('入力シート'!$A168="","",'入力シート'!B168),"")</f>
        <v/>
      </c>
      <c r="C168" s="11">
        <f>IFERROR(IF('入力シート'!$A168="","",'入力シート'!C168),"")</f>
        <v/>
      </c>
      <c r="D168" s="11">
        <f>IFERROR(IF('入力シート'!$A168="","",'入力シート'!D168),"")</f>
        <v/>
      </c>
      <c r="E168" s="3">
        <f>IFERROR(IF('入力シート'!$A168="","",'入力シート'!I168),"")</f>
        <v/>
      </c>
      <c r="F168" s="3">
        <f>IFERROR(IF('入力シート'!$A168="","",'入力シート'!N168),"")</f>
        <v/>
      </c>
      <c r="G168" s="3">
        <f>IFERROR(IF('入力シート'!$A168="","",'入力シート'!O168),"")</f>
        <v/>
      </c>
      <c r="H168" s="17">
        <f>IFERROR(IF('入力シート'!$A168="","",'入力シート'!P168),"")</f>
        <v/>
      </c>
      <c r="I168" s="11">
        <f>IFERROR(IF('入力シート'!$A168="","",'入力シート'!Q168),"")</f>
        <v/>
      </c>
      <c r="J168" s="11">
        <f>IFERROR(IF('入力シート'!$A168="","",'入力シート'!R168),"")</f>
        <v/>
      </c>
      <c r="K168" s="11">
        <f>IFERROR(IF('入力シート'!$A168="","",IF(H168&gt;='設定'!$B$4,"OK",IF(H168&gt;='設定'!$B$5,"注意","要改善"))),"")</f>
        <v/>
      </c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</row>
    <row r="169" ht="26.75" customHeight="1">
      <c r="A169" s="11">
        <f>IFERROR(IF('入力シート'!$A169="","",'入力シート'!A169),"")</f>
        <v/>
      </c>
      <c r="B169" s="11">
        <f>IFERROR(IF('入力シート'!$A169="","",'入力シート'!B169),"")</f>
        <v/>
      </c>
      <c r="C169" s="11">
        <f>IFERROR(IF('入力シート'!$A169="","",'入力シート'!C169),"")</f>
        <v/>
      </c>
      <c r="D169" s="11">
        <f>IFERROR(IF('入力シート'!$A169="","",'入力シート'!D169),"")</f>
        <v/>
      </c>
      <c r="E169" s="3">
        <f>IFERROR(IF('入力シート'!$A169="","",'入力シート'!I169),"")</f>
        <v/>
      </c>
      <c r="F169" s="3">
        <f>IFERROR(IF('入力シート'!$A169="","",'入力シート'!N169),"")</f>
        <v/>
      </c>
      <c r="G169" s="3">
        <f>IFERROR(IF('入力シート'!$A169="","",'入力シート'!O169),"")</f>
        <v/>
      </c>
      <c r="H169" s="17">
        <f>IFERROR(IF('入力シート'!$A169="","",'入力シート'!P169),"")</f>
        <v/>
      </c>
      <c r="I169" s="11">
        <f>IFERROR(IF('入力シート'!$A169="","",'入力シート'!Q169),"")</f>
        <v/>
      </c>
      <c r="J169" s="11">
        <f>IFERROR(IF('入力シート'!$A169="","",'入力シート'!R169),"")</f>
        <v/>
      </c>
      <c r="K169" s="11">
        <f>IFERROR(IF('入力シート'!$A169="","",IF(H169&gt;='設定'!$B$4,"OK",IF(H169&gt;='設定'!$B$5,"注意","要改善"))),"")</f>
        <v/>
      </c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</row>
    <row r="170" ht="26.75" customHeight="1">
      <c r="A170" s="11">
        <f>IFERROR(IF('入力シート'!$A170="","",'入力シート'!A170),"")</f>
        <v/>
      </c>
      <c r="B170" s="11">
        <f>IFERROR(IF('入力シート'!$A170="","",'入力シート'!B170),"")</f>
        <v/>
      </c>
      <c r="C170" s="11">
        <f>IFERROR(IF('入力シート'!$A170="","",'入力シート'!C170),"")</f>
        <v/>
      </c>
      <c r="D170" s="11">
        <f>IFERROR(IF('入力シート'!$A170="","",'入力シート'!D170),"")</f>
        <v/>
      </c>
      <c r="E170" s="3">
        <f>IFERROR(IF('入力シート'!$A170="","",'入力シート'!I170),"")</f>
        <v/>
      </c>
      <c r="F170" s="3">
        <f>IFERROR(IF('入力シート'!$A170="","",'入力シート'!N170),"")</f>
        <v/>
      </c>
      <c r="G170" s="3">
        <f>IFERROR(IF('入力シート'!$A170="","",'入力シート'!O170),"")</f>
        <v/>
      </c>
      <c r="H170" s="17">
        <f>IFERROR(IF('入力シート'!$A170="","",'入力シート'!P170),"")</f>
        <v/>
      </c>
      <c r="I170" s="11">
        <f>IFERROR(IF('入力シート'!$A170="","",'入力シート'!Q170),"")</f>
        <v/>
      </c>
      <c r="J170" s="11">
        <f>IFERROR(IF('入力シート'!$A170="","",'入力シート'!R170),"")</f>
        <v/>
      </c>
      <c r="K170" s="11">
        <f>IFERROR(IF('入力シート'!$A170="","",IF(H170&gt;='設定'!$B$4,"OK",IF(H170&gt;='設定'!$B$5,"注意","要改善"))),"")</f>
        <v/>
      </c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</row>
    <row r="171" ht="26.75" customHeight="1">
      <c r="A171" s="11">
        <f>IFERROR(IF('入力シート'!$A171="","",'入力シート'!A171),"")</f>
        <v/>
      </c>
      <c r="B171" s="11">
        <f>IFERROR(IF('入力シート'!$A171="","",'入力シート'!B171),"")</f>
        <v/>
      </c>
      <c r="C171" s="11">
        <f>IFERROR(IF('入力シート'!$A171="","",'入力シート'!C171),"")</f>
        <v/>
      </c>
      <c r="D171" s="11">
        <f>IFERROR(IF('入力シート'!$A171="","",'入力シート'!D171),"")</f>
        <v/>
      </c>
      <c r="E171" s="3">
        <f>IFERROR(IF('入力シート'!$A171="","",'入力シート'!I171),"")</f>
        <v/>
      </c>
      <c r="F171" s="3">
        <f>IFERROR(IF('入力シート'!$A171="","",'入力シート'!N171),"")</f>
        <v/>
      </c>
      <c r="G171" s="3">
        <f>IFERROR(IF('入力シート'!$A171="","",'入力シート'!O171),"")</f>
        <v/>
      </c>
      <c r="H171" s="17">
        <f>IFERROR(IF('入力シート'!$A171="","",'入力シート'!P171),"")</f>
        <v/>
      </c>
      <c r="I171" s="11">
        <f>IFERROR(IF('入力シート'!$A171="","",'入力シート'!Q171),"")</f>
        <v/>
      </c>
      <c r="J171" s="11">
        <f>IFERROR(IF('入力シート'!$A171="","",'入力シート'!R171),"")</f>
        <v/>
      </c>
      <c r="K171" s="11">
        <f>IFERROR(IF('入力シート'!$A171="","",IF(H171&gt;='設定'!$B$4,"OK",IF(H171&gt;='設定'!$B$5,"注意","要改善"))),"")</f>
        <v/>
      </c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</row>
    <row r="172" ht="26.75" customHeight="1">
      <c r="A172" s="11">
        <f>IFERROR(IF('入力シート'!$A172="","",'入力シート'!A172),"")</f>
        <v/>
      </c>
      <c r="B172" s="11">
        <f>IFERROR(IF('入力シート'!$A172="","",'入力シート'!B172),"")</f>
        <v/>
      </c>
      <c r="C172" s="11">
        <f>IFERROR(IF('入力シート'!$A172="","",'入力シート'!C172),"")</f>
        <v/>
      </c>
      <c r="D172" s="11">
        <f>IFERROR(IF('入力シート'!$A172="","",'入力シート'!D172),"")</f>
        <v/>
      </c>
      <c r="E172" s="3">
        <f>IFERROR(IF('入力シート'!$A172="","",'入力シート'!I172),"")</f>
        <v/>
      </c>
      <c r="F172" s="3">
        <f>IFERROR(IF('入力シート'!$A172="","",'入力シート'!N172),"")</f>
        <v/>
      </c>
      <c r="G172" s="3">
        <f>IFERROR(IF('入力シート'!$A172="","",'入力シート'!O172),"")</f>
        <v/>
      </c>
      <c r="H172" s="17">
        <f>IFERROR(IF('入力シート'!$A172="","",'入力シート'!P172),"")</f>
        <v/>
      </c>
      <c r="I172" s="11">
        <f>IFERROR(IF('入力シート'!$A172="","",'入力シート'!Q172),"")</f>
        <v/>
      </c>
      <c r="J172" s="11">
        <f>IFERROR(IF('入力シート'!$A172="","",'入力シート'!R172),"")</f>
        <v/>
      </c>
      <c r="K172" s="11">
        <f>IFERROR(IF('入力シート'!$A172="","",IF(H172&gt;='設定'!$B$4,"OK",IF(H172&gt;='設定'!$B$5,"注意","要改善"))),"")</f>
        <v/>
      </c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</row>
    <row r="173" ht="26.75" customHeight="1">
      <c r="A173" s="11">
        <f>IFERROR(IF('入力シート'!$A173="","",'入力シート'!A173),"")</f>
        <v/>
      </c>
      <c r="B173" s="11">
        <f>IFERROR(IF('入力シート'!$A173="","",'入力シート'!B173),"")</f>
        <v/>
      </c>
      <c r="C173" s="11">
        <f>IFERROR(IF('入力シート'!$A173="","",'入力シート'!C173),"")</f>
        <v/>
      </c>
      <c r="D173" s="11">
        <f>IFERROR(IF('入力シート'!$A173="","",'入力シート'!D173),"")</f>
        <v/>
      </c>
      <c r="E173" s="3">
        <f>IFERROR(IF('入力シート'!$A173="","",'入力シート'!I173),"")</f>
        <v/>
      </c>
      <c r="F173" s="3">
        <f>IFERROR(IF('入力シート'!$A173="","",'入力シート'!N173),"")</f>
        <v/>
      </c>
      <c r="G173" s="3">
        <f>IFERROR(IF('入力シート'!$A173="","",'入力シート'!O173),"")</f>
        <v/>
      </c>
      <c r="H173" s="17">
        <f>IFERROR(IF('入力シート'!$A173="","",'入力シート'!P173),"")</f>
        <v/>
      </c>
      <c r="I173" s="11">
        <f>IFERROR(IF('入力シート'!$A173="","",'入力シート'!Q173),"")</f>
        <v/>
      </c>
      <c r="J173" s="11">
        <f>IFERROR(IF('入力シート'!$A173="","",'入力シート'!R173),"")</f>
        <v/>
      </c>
      <c r="K173" s="11">
        <f>IFERROR(IF('入力シート'!$A173="","",IF(H173&gt;='設定'!$B$4,"OK",IF(H173&gt;='設定'!$B$5,"注意","要改善"))),"")</f>
        <v/>
      </c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</row>
    <row r="174" ht="26.75" customHeight="1">
      <c r="A174" s="11">
        <f>IFERROR(IF('入力シート'!$A174="","",'入力シート'!A174),"")</f>
        <v/>
      </c>
      <c r="B174" s="11">
        <f>IFERROR(IF('入力シート'!$A174="","",'入力シート'!B174),"")</f>
        <v/>
      </c>
      <c r="C174" s="11">
        <f>IFERROR(IF('入力シート'!$A174="","",'入力シート'!C174),"")</f>
        <v/>
      </c>
      <c r="D174" s="11">
        <f>IFERROR(IF('入力シート'!$A174="","",'入力シート'!D174),"")</f>
        <v/>
      </c>
      <c r="E174" s="3">
        <f>IFERROR(IF('入力シート'!$A174="","",'入力シート'!I174),"")</f>
        <v/>
      </c>
      <c r="F174" s="3">
        <f>IFERROR(IF('入力シート'!$A174="","",'入力シート'!N174),"")</f>
        <v/>
      </c>
      <c r="G174" s="3">
        <f>IFERROR(IF('入力シート'!$A174="","",'入力シート'!O174),"")</f>
        <v/>
      </c>
      <c r="H174" s="17">
        <f>IFERROR(IF('入力シート'!$A174="","",'入力シート'!P174),"")</f>
        <v/>
      </c>
      <c r="I174" s="11">
        <f>IFERROR(IF('入力シート'!$A174="","",'入力シート'!Q174),"")</f>
        <v/>
      </c>
      <c r="J174" s="11">
        <f>IFERROR(IF('入力シート'!$A174="","",'入力シート'!R174),"")</f>
        <v/>
      </c>
      <c r="K174" s="11">
        <f>IFERROR(IF('入力シート'!$A174="","",IF(H174&gt;='設定'!$B$4,"OK",IF(H174&gt;='設定'!$B$5,"注意","要改善"))),"")</f>
        <v/>
      </c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</row>
    <row r="175" ht="26.75" customHeight="1">
      <c r="A175" s="11">
        <f>IFERROR(IF('入力シート'!$A175="","",'入力シート'!A175),"")</f>
        <v/>
      </c>
      <c r="B175" s="11">
        <f>IFERROR(IF('入力シート'!$A175="","",'入力シート'!B175),"")</f>
        <v/>
      </c>
      <c r="C175" s="11">
        <f>IFERROR(IF('入力シート'!$A175="","",'入力シート'!C175),"")</f>
        <v/>
      </c>
      <c r="D175" s="11">
        <f>IFERROR(IF('入力シート'!$A175="","",'入力シート'!D175),"")</f>
        <v/>
      </c>
      <c r="E175" s="3">
        <f>IFERROR(IF('入力シート'!$A175="","",'入力シート'!I175),"")</f>
        <v/>
      </c>
      <c r="F175" s="3">
        <f>IFERROR(IF('入力シート'!$A175="","",'入力シート'!N175),"")</f>
        <v/>
      </c>
      <c r="G175" s="3">
        <f>IFERROR(IF('入力シート'!$A175="","",'入力シート'!O175),"")</f>
        <v/>
      </c>
      <c r="H175" s="17">
        <f>IFERROR(IF('入力シート'!$A175="","",'入力シート'!P175),"")</f>
        <v/>
      </c>
      <c r="I175" s="11">
        <f>IFERROR(IF('入力シート'!$A175="","",'入力シート'!Q175),"")</f>
        <v/>
      </c>
      <c r="J175" s="11">
        <f>IFERROR(IF('入力シート'!$A175="","",'入力シート'!R175),"")</f>
        <v/>
      </c>
      <c r="K175" s="11">
        <f>IFERROR(IF('入力シート'!$A175="","",IF(H175&gt;='設定'!$B$4,"OK",IF(H175&gt;='設定'!$B$5,"注意","要改善"))),"")</f>
        <v/>
      </c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</row>
    <row r="176" ht="26.75" customHeight="1">
      <c r="A176" s="11">
        <f>IFERROR(IF('入力シート'!$A176="","",'入力シート'!A176),"")</f>
        <v/>
      </c>
      <c r="B176" s="11">
        <f>IFERROR(IF('入力シート'!$A176="","",'入力シート'!B176),"")</f>
        <v/>
      </c>
      <c r="C176" s="11">
        <f>IFERROR(IF('入力シート'!$A176="","",'入力シート'!C176),"")</f>
        <v/>
      </c>
      <c r="D176" s="11">
        <f>IFERROR(IF('入力シート'!$A176="","",'入力シート'!D176),"")</f>
        <v/>
      </c>
      <c r="E176" s="3">
        <f>IFERROR(IF('入力シート'!$A176="","",'入力シート'!I176),"")</f>
        <v/>
      </c>
      <c r="F176" s="3">
        <f>IFERROR(IF('入力シート'!$A176="","",'入力シート'!N176),"")</f>
        <v/>
      </c>
      <c r="G176" s="3">
        <f>IFERROR(IF('入力シート'!$A176="","",'入力シート'!O176),"")</f>
        <v/>
      </c>
      <c r="H176" s="17">
        <f>IFERROR(IF('入力シート'!$A176="","",'入力シート'!P176),"")</f>
        <v/>
      </c>
      <c r="I176" s="11">
        <f>IFERROR(IF('入力シート'!$A176="","",'入力シート'!Q176),"")</f>
        <v/>
      </c>
      <c r="J176" s="11">
        <f>IFERROR(IF('入力シート'!$A176="","",'入力シート'!R176),"")</f>
        <v/>
      </c>
      <c r="K176" s="11">
        <f>IFERROR(IF('入力シート'!$A176="","",IF(H176&gt;='設定'!$B$4,"OK",IF(H176&gt;='設定'!$B$5,"注意","要改善"))),"")</f>
        <v/>
      </c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</row>
    <row r="177" ht="26.75" customHeight="1">
      <c r="A177" s="11">
        <f>IFERROR(IF('入力シート'!$A177="","",'入力シート'!A177),"")</f>
        <v/>
      </c>
      <c r="B177" s="11">
        <f>IFERROR(IF('入力シート'!$A177="","",'入力シート'!B177),"")</f>
        <v/>
      </c>
      <c r="C177" s="11">
        <f>IFERROR(IF('入力シート'!$A177="","",'入力シート'!C177),"")</f>
        <v/>
      </c>
      <c r="D177" s="11">
        <f>IFERROR(IF('入力シート'!$A177="","",'入力シート'!D177),"")</f>
        <v/>
      </c>
      <c r="E177" s="3">
        <f>IFERROR(IF('入力シート'!$A177="","",'入力シート'!I177),"")</f>
        <v/>
      </c>
      <c r="F177" s="3">
        <f>IFERROR(IF('入力シート'!$A177="","",'入力シート'!N177),"")</f>
        <v/>
      </c>
      <c r="G177" s="3">
        <f>IFERROR(IF('入力シート'!$A177="","",'入力シート'!O177),"")</f>
        <v/>
      </c>
      <c r="H177" s="17">
        <f>IFERROR(IF('入力シート'!$A177="","",'入力シート'!P177),"")</f>
        <v/>
      </c>
      <c r="I177" s="11">
        <f>IFERROR(IF('入力シート'!$A177="","",'入力シート'!Q177),"")</f>
        <v/>
      </c>
      <c r="J177" s="11">
        <f>IFERROR(IF('入力シート'!$A177="","",'入力シート'!R177),"")</f>
        <v/>
      </c>
      <c r="K177" s="11">
        <f>IFERROR(IF('入力シート'!$A177="","",IF(H177&gt;='設定'!$B$4,"OK",IF(H177&gt;='設定'!$B$5,"注意","要改善"))),"")</f>
        <v/>
      </c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</row>
    <row r="178" ht="26.75" customHeight="1">
      <c r="A178" s="11">
        <f>IFERROR(IF('入力シート'!$A178="","",'入力シート'!A178),"")</f>
        <v/>
      </c>
      <c r="B178" s="11">
        <f>IFERROR(IF('入力シート'!$A178="","",'入力シート'!B178),"")</f>
        <v/>
      </c>
      <c r="C178" s="11">
        <f>IFERROR(IF('入力シート'!$A178="","",'入力シート'!C178),"")</f>
        <v/>
      </c>
      <c r="D178" s="11">
        <f>IFERROR(IF('入力シート'!$A178="","",'入力シート'!D178),"")</f>
        <v/>
      </c>
      <c r="E178" s="3">
        <f>IFERROR(IF('入力シート'!$A178="","",'入力シート'!I178),"")</f>
        <v/>
      </c>
      <c r="F178" s="3">
        <f>IFERROR(IF('入力シート'!$A178="","",'入力シート'!N178),"")</f>
        <v/>
      </c>
      <c r="G178" s="3">
        <f>IFERROR(IF('入力シート'!$A178="","",'入力シート'!O178),"")</f>
        <v/>
      </c>
      <c r="H178" s="17">
        <f>IFERROR(IF('入力シート'!$A178="","",'入力シート'!P178),"")</f>
        <v/>
      </c>
      <c r="I178" s="11">
        <f>IFERROR(IF('入力シート'!$A178="","",'入力シート'!Q178),"")</f>
        <v/>
      </c>
      <c r="J178" s="11">
        <f>IFERROR(IF('入力シート'!$A178="","",'入力シート'!R178),"")</f>
        <v/>
      </c>
      <c r="K178" s="11">
        <f>IFERROR(IF('入力シート'!$A178="","",IF(H178&gt;='設定'!$B$4,"OK",IF(H178&gt;='設定'!$B$5,"注意","要改善"))),"")</f>
        <v/>
      </c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</row>
    <row r="179" ht="26.75" customHeight="1">
      <c r="A179" s="11">
        <f>IFERROR(IF('入力シート'!$A179="","",'入力シート'!A179),"")</f>
        <v/>
      </c>
      <c r="B179" s="11">
        <f>IFERROR(IF('入力シート'!$A179="","",'入力シート'!B179),"")</f>
        <v/>
      </c>
      <c r="C179" s="11">
        <f>IFERROR(IF('入力シート'!$A179="","",'入力シート'!C179),"")</f>
        <v/>
      </c>
      <c r="D179" s="11">
        <f>IFERROR(IF('入力シート'!$A179="","",'入力シート'!D179),"")</f>
        <v/>
      </c>
      <c r="E179" s="3">
        <f>IFERROR(IF('入力シート'!$A179="","",'入力シート'!I179),"")</f>
        <v/>
      </c>
      <c r="F179" s="3">
        <f>IFERROR(IF('入力シート'!$A179="","",'入力シート'!N179),"")</f>
        <v/>
      </c>
      <c r="G179" s="3">
        <f>IFERROR(IF('入力シート'!$A179="","",'入力シート'!O179),"")</f>
        <v/>
      </c>
      <c r="H179" s="17">
        <f>IFERROR(IF('入力シート'!$A179="","",'入力シート'!P179),"")</f>
        <v/>
      </c>
      <c r="I179" s="11">
        <f>IFERROR(IF('入力シート'!$A179="","",'入力シート'!Q179),"")</f>
        <v/>
      </c>
      <c r="J179" s="11">
        <f>IFERROR(IF('入力シート'!$A179="","",'入力シート'!R179),"")</f>
        <v/>
      </c>
      <c r="K179" s="11">
        <f>IFERROR(IF('入力シート'!$A179="","",IF(H179&gt;='設定'!$B$4,"OK",IF(H179&gt;='設定'!$B$5,"注意","要改善"))),"")</f>
        <v/>
      </c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</row>
    <row r="180" ht="26.75" customHeight="1">
      <c r="A180" s="11">
        <f>IFERROR(IF('入力シート'!$A180="","",'入力シート'!A180),"")</f>
        <v/>
      </c>
      <c r="B180" s="11">
        <f>IFERROR(IF('入力シート'!$A180="","",'入力シート'!B180),"")</f>
        <v/>
      </c>
      <c r="C180" s="11">
        <f>IFERROR(IF('入力シート'!$A180="","",'入力シート'!C180),"")</f>
        <v/>
      </c>
      <c r="D180" s="11">
        <f>IFERROR(IF('入力シート'!$A180="","",'入力シート'!D180),"")</f>
        <v/>
      </c>
      <c r="E180" s="3">
        <f>IFERROR(IF('入力シート'!$A180="","",'入力シート'!I180),"")</f>
        <v/>
      </c>
      <c r="F180" s="3">
        <f>IFERROR(IF('入力シート'!$A180="","",'入力シート'!N180),"")</f>
        <v/>
      </c>
      <c r="G180" s="3">
        <f>IFERROR(IF('入力シート'!$A180="","",'入力シート'!O180),"")</f>
        <v/>
      </c>
      <c r="H180" s="17">
        <f>IFERROR(IF('入力シート'!$A180="","",'入力シート'!P180),"")</f>
        <v/>
      </c>
      <c r="I180" s="11">
        <f>IFERROR(IF('入力シート'!$A180="","",'入力シート'!Q180),"")</f>
        <v/>
      </c>
      <c r="J180" s="11">
        <f>IFERROR(IF('入力シート'!$A180="","",'入力シート'!R180),"")</f>
        <v/>
      </c>
      <c r="K180" s="11">
        <f>IFERROR(IF('入力シート'!$A180="","",IF(H180&gt;='設定'!$B$4,"OK",IF(H180&gt;='設定'!$B$5,"注意","要改善"))),"")</f>
        <v/>
      </c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</row>
    <row r="181" ht="26.75" customHeight="1">
      <c r="A181" s="11">
        <f>IFERROR(IF('入力シート'!$A181="","",'入力シート'!A181),"")</f>
        <v/>
      </c>
      <c r="B181" s="11">
        <f>IFERROR(IF('入力シート'!$A181="","",'入力シート'!B181),"")</f>
        <v/>
      </c>
      <c r="C181" s="11">
        <f>IFERROR(IF('入力シート'!$A181="","",'入力シート'!C181),"")</f>
        <v/>
      </c>
      <c r="D181" s="11">
        <f>IFERROR(IF('入力シート'!$A181="","",'入力シート'!D181),"")</f>
        <v/>
      </c>
      <c r="E181" s="3">
        <f>IFERROR(IF('入力シート'!$A181="","",'入力シート'!I181),"")</f>
        <v/>
      </c>
      <c r="F181" s="3">
        <f>IFERROR(IF('入力シート'!$A181="","",'入力シート'!N181),"")</f>
        <v/>
      </c>
      <c r="G181" s="3">
        <f>IFERROR(IF('入力シート'!$A181="","",'入力シート'!O181),"")</f>
        <v/>
      </c>
      <c r="H181" s="17">
        <f>IFERROR(IF('入力シート'!$A181="","",'入力シート'!P181),"")</f>
        <v/>
      </c>
      <c r="I181" s="11">
        <f>IFERROR(IF('入力シート'!$A181="","",'入力シート'!Q181),"")</f>
        <v/>
      </c>
      <c r="J181" s="11">
        <f>IFERROR(IF('入力シート'!$A181="","",'入力シート'!R181),"")</f>
        <v/>
      </c>
      <c r="K181" s="11">
        <f>IFERROR(IF('入力シート'!$A181="","",IF(H181&gt;='設定'!$B$4,"OK",IF(H181&gt;='設定'!$B$5,"注意","要改善"))),"")</f>
        <v/>
      </c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</row>
    <row r="182" ht="26.75" customHeight="1">
      <c r="A182" s="11">
        <f>IFERROR(IF('入力シート'!$A182="","",'入力シート'!A182),"")</f>
        <v/>
      </c>
      <c r="B182" s="11">
        <f>IFERROR(IF('入力シート'!$A182="","",'入力シート'!B182),"")</f>
        <v/>
      </c>
      <c r="C182" s="11">
        <f>IFERROR(IF('入力シート'!$A182="","",'入力シート'!C182),"")</f>
        <v/>
      </c>
      <c r="D182" s="11">
        <f>IFERROR(IF('入力シート'!$A182="","",'入力シート'!D182),"")</f>
        <v/>
      </c>
      <c r="E182" s="3">
        <f>IFERROR(IF('入力シート'!$A182="","",'入力シート'!I182),"")</f>
        <v/>
      </c>
      <c r="F182" s="3">
        <f>IFERROR(IF('入力シート'!$A182="","",'入力シート'!N182),"")</f>
        <v/>
      </c>
      <c r="G182" s="3">
        <f>IFERROR(IF('入力シート'!$A182="","",'入力シート'!O182),"")</f>
        <v/>
      </c>
      <c r="H182" s="17">
        <f>IFERROR(IF('入力シート'!$A182="","",'入力シート'!P182),"")</f>
        <v/>
      </c>
      <c r="I182" s="11">
        <f>IFERROR(IF('入力シート'!$A182="","",'入力シート'!Q182),"")</f>
        <v/>
      </c>
      <c r="J182" s="11">
        <f>IFERROR(IF('入力シート'!$A182="","",'入力シート'!R182),"")</f>
        <v/>
      </c>
      <c r="K182" s="11">
        <f>IFERROR(IF('入力シート'!$A182="","",IF(H182&gt;='設定'!$B$4,"OK",IF(H182&gt;='設定'!$B$5,"注意","要改善"))),"")</f>
        <v/>
      </c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</row>
    <row r="183" ht="26.75" customHeight="1">
      <c r="A183" s="11">
        <f>IFERROR(IF('入力シート'!$A183="","",'入力シート'!A183),"")</f>
        <v/>
      </c>
      <c r="B183" s="11">
        <f>IFERROR(IF('入力シート'!$A183="","",'入力シート'!B183),"")</f>
        <v/>
      </c>
      <c r="C183" s="11">
        <f>IFERROR(IF('入力シート'!$A183="","",'入力シート'!C183),"")</f>
        <v/>
      </c>
      <c r="D183" s="11">
        <f>IFERROR(IF('入力シート'!$A183="","",'入力シート'!D183),"")</f>
        <v/>
      </c>
      <c r="E183" s="3">
        <f>IFERROR(IF('入力シート'!$A183="","",'入力シート'!I183),"")</f>
        <v/>
      </c>
      <c r="F183" s="3">
        <f>IFERROR(IF('入力シート'!$A183="","",'入力シート'!N183),"")</f>
        <v/>
      </c>
      <c r="G183" s="3">
        <f>IFERROR(IF('入力シート'!$A183="","",'入力シート'!O183),"")</f>
        <v/>
      </c>
      <c r="H183" s="17">
        <f>IFERROR(IF('入力シート'!$A183="","",'入力シート'!P183),"")</f>
        <v/>
      </c>
      <c r="I183" s="11">
        <f>IFERROR(IF('入力シート'!$A183="","",'入力シート'!Q183),"")</f>
        <v/>
      </c>
      <c r="J183" s="11">
        <f>IFERROR(IF('入力シート'!$A183="","",'入力シート'!R183),"")</f>
        <v/>
      </c>
      <c r="K183" s="11">
        <f>IFERROR(IF('入力シート'!$A183="","",IF(H183&gt;='設定'!$B$4,"OK",IF(H183&gt;='設定'!$B$5,"注意","要改善"))),"")</f>
        <v/>
      </c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</row>
    <row r="184" ht="26.75" customHeight="1">
      <c r="A184" s="11">
        <f>IFERROR(IF('入力シート'!$A184="","",'入力シート'!A184),"")</f>
        <v/>
      </c>
      <c r="B184" s="11">
        <f>IFERROR(IF('入力シート'!$A184="","",'入力シート'!B184),"")</f>
        <v/>
      </c>
      <c r="C184" s="11">
        <f>IFERROR(IF('入力シート'!$A184="","",'入力シート'!C184),"")</f>
        <v/>
      </c>
      <c r="D184" s="11">
        <f>IFERROR(IF('入力シート'!$A184="","",'入力シート'!D184),"")</f>
        <v/>
      </c>
      <c r="E184" s="3">
        <f>IFERROR(IF('入力シート'!$A184="","",'入力シート'!I184),"")</f>
        <v/>
      </c>
      <c r="F184" s="3">
        <f>IFERROR(IF('入力シート'!$A184="","",'入力シート'!N184),"")</f>
        <v/>
      </c>
      <c r="G184" s="3">
        <f>IFERROR(IF('入力シート'!$A184="","",'入力シート'!O184),"")</f>
        <v/>
      </c>
      <c r="H184" s="17">
        <f>IFERROR(IF('入力シート'!$A184="","",'入力シート'!P184),"")</f>
        <v/>
      </c>
      <c r="I184" s="11">
        <f>IFERROR(IF('入力シート'!$A184="","",'入力シート'!Q184),"")</f>
        <v/>
      </c>
      <c r="J184" s="11">
        <f>IFERROR(IF('入力シート'!$A184="","",'入力シート'!R184),"")</f>
        <v/>
      </c>
      <c r="K184" s="11">
        <f>IFERROR(IF('入力シート'!$A184="","",IF(H184&gt;='設定'!$B$4,"OK",IF(H184&gt;='設定'!$B$5,"注意","要改善"))),"")</f>
        <v/>
      </c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</row>
    <row r="185" ht="26.75" customHeight="1">
      <c r="A185" s="11">
        <f>IFERROR(IF('入力シート'!$A185="","",'入力シート'!A185),"")</f>
        <v/>
      </c>
      <c r="B185" s="11">
        <f>IFERROR(IF('入力シート'!$A185="","",'入力シート'!B185),"")</f>
        <v/>
      </c>
      <c r="C185" s="11">
        <f>IFERROR(IF('入力シート'!$A185="","",'入力シート'!C185),"")</f>
        <v/>
      </c>
      <c r="D185" s="11">
        <f>IFERROR(IF('入力シート'!$A185="","",'入力シート'!D185),"")</f>
        <v/>
      </c>
      <c r="E185" s="3">
        <f>IFERROR(IF('入力シート'!$A185="","",'入力シート'!I185),"")</f>
        <v/>
      </c>
      <c r="F185" s="3">
        <f>IFERROR(IF('入力シート'!$A185="","",'入力シート'!N185),"")</f>
        <v/>
      </c>
      <c r="G185" s="3">
        <f>IFERROR(IF('入力シート'!$A185="","",'入力シート'!O185),"")</f>
        <v/>
      </c>
      <c r="H185" s="17">
        <f>IFERROR(IF('入力シート'!$A185="","",'入力シート'!P185),"")</f>
        <v/>
      </c>
      <c r="I185" s="11">
        <f>IFERROR(IF('入力シート'!$A185="","",'入力シート'!Q185),"")</f>
        <v/>
      </c>
      <c r="J185" s="11">
        <f>IFERROR(IF('入力シート'!$A185="","",'入力シート'!R185),"")</f>
        <v/>
      </c>
      <c r="K185" s="11">
        <f>IFERROR(IF('入力シート'!$A185="","",IF(H185&gt;='設定'!$B$4,"OK",IF(H185&gt;='設定'!$B$5,"注意","要改善"))),"")</f>
        <v/>
      </c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</row>
    <row r="186" ht="26.75" customHeight="1">
      <c r="A186" s="11">
        <f>IFERROR(IF('入力シート'!$A186="","",'入力シート'!A186),"")</f>
        <v/>
      </c>
      <c r="B186" s="11">
        <f>IFERROR(IF('入力シート'!$A186="","",'入力シート'!B186),"")</f>
        <v/>
      </c>
      <c r="C186" s="11">
        <f>IFERROR(IF('入力シート'!$A186="","",'入力シート'!C186),"")</f>
        <v/>
      </c>
      <c r="D186" s="11">
        <f>IFERROR(IF('入力シート'!$A186="","",'入力シート'!D186),"")</f>
        <v/>
      </c>
      <c r="E186" s="3">
        <f>IFERROR(IF('入力シート'!$A186="","",'入力シート'!I186),"")</f>
        <v/>
      </c>
      <c r="F186" s="3">
        <f>IFERROR(IF('入力シート'!$A186="","",'入力シート'!N186),"")</f>
        <v/>
      </c>
      <c r="G186" s="3">
        <f>IFERROR(IF('入力シート'!$A186="","",'入力シート'!O186),"")</f>
        <v/>
      </c>
      <c r="H186" s="17">
        <f>IFERROR(IF('入力シート'!$A186="","",'入力シート'!P186),"")</f>
        <v/>
      </c>
      <c r="I186" s="11">
        <f>IFERROR(IF('入力シート'!$A186="","",'入力シート'!Q186),"")</f>
        <v/>
      </c>
      <c r="J186" s="11">
        <f>IFERROR(IF('入力シート'!$A186="","",'入力シート'!R186),"")</f>
        <v/>
      </c>
      <c r="K186" s="11">
        <f>IFERROR(IF('入力シート'!$A186="","",IF(H186&gt;='設定'!$B$4,"OK",IF(H186&gt;='設定'!$B$5,"注意","要改善"))),"")</f>
        <v/>
      </c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</row>
    <row r="187" ht="26.75" customHeight="1">
      <c r="A187" s="11">
        <f>IFERROR(IF('入力シート'!$A187="","",'入力シート'!A187),"")</f>
        <v/>
      </c>
      <c r="B187" s="11">
        <f>IFERROR(IF('入力シート'!$A187="","",'入力シート'!B187),"")</f>
        <v/>
      </c>
      <c r="C187" s="11">
        <f>IFERROR(IF('入力シート'!$A187="","",'入力シート'!C187),"")</f>
        <v/>
      </c>
      <c r="D187" s="11">
        <f>IFERROR(IF('入力シート'!$A187="","",'入力シート'!D187),"")</f>
        <v/>
      </c>
      <c r="E187" s="3">
        <f>IFERROR(IF('入力シート'!$A187="","",'入力シート'!I187),"")</f>
        <v/>
      </c>
      <c r="F187" s="3">
        <f>IFERROR(IF('入力シート'!$A187="","",'入力シート'!N187),"")</f>
        <v/>
      </c>
      <c r="G187" s="3">
        <f>IFERROR(IF('入力シート'!$A187="","",'入力シート'!O187),"")</f>
        <v/>
      </c>
      <c r="H187" s="17">
        <f>IFERROR(IF('入力シート'!$A187="","",'入力シート'!P187),"")</f>
        <v/>
      </c>
      <c r="I187" s="11">
        <f>IFERROR(IF('入力シート'!$A187="","",'入力シート'!Q187),"")</f>
        <v/>
      </c>
      <c r="J187" s="11">
        <f>IFERROR(IF('入力シート'!$A187="","",'入力シート'!R187),"")</f>
        <v/>
      </c>
      <c r="K187" s="11">
        <f>IFERROR(IF('入力シート'!$A187="","",IF(H187&gt;='設定'!$B$4,"OK",IF(H187&gt;='設定'!$B$5,"注意","要改善"))),"")</f>
        <v/>
      </c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</row>
    <row r="188" ht="26.75" customHeight="1">
      <c r="A188" s="11">
        <f>IFERROR(IF('入力シート'!$A188="","",'入力シート'!A188),"")</f>
        <v/>
      </c>
      <c r="B188" s="11">
        <f>IFERROR(IF('入力シート'!$A188="","",'入力シート'!B188),"")</f>
        <v/>
      </c>
      <c r="C188" s="11">
        <f>IFERROR(IF('入力シート'!$A188="","",'入力シート'!C188),"")</f>
        <v/>
      </c>
      <c r="D188" s="11">
        <f>IFERROR(IF('入力シート'!$A188="","",'入力シート'!D188),"")</f>
        <v/>
      </c>
      <c r="E188" s="3">
        <f>IFERROR(IF('入力シート'!$A188="","",'入力シート'!I188),"")</f>
        <v/>
      </c>
      <c r="F188" s="3">
        <f>IFERROR(IF('入力シート'!$A188="","",'入力シート'!N188),"")</f>
        <v/>
      </c>
      <c r="G188" s="3">
        <f>IFERROR(IF('入力シート'!$A188="","",'入力シート'!O188),"")</f>
        <v/>
      </c>
      <c r="H188" s="17">
        <f>IFERROR(IF('入力シート'!$A188="","",'入力シート'!P188),"")</f>
        <v/>
      </c>
      <c r="I188" s="11">
        <f>IFERROR(IF('入力シート'!$A188="","",'入力シート'!Q188),"")</f>
        <v/>
      </c>
      <c r="J188" s="11">
        <f>IFERROR(IF('入力シート'!$A188="","",'入力シート'!R188),"")</f>
        <v/>
      </c>
      <c r="K188" s="11">
        <f>IFERROR(IF('入力シート'!$A188="","",IF(H188&gt;='設定'!$B$4,"OK",IF(H188&gt;='設定'!$B$5,"注意","要改善"))),"")</f>
        <v/>
      </c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</row>
    <row r="189" ht="26.75" customHeight="1">
      <c r="A189" s="11">
        <f>IFERROR(IF('入力シート'!$A189="","",'入力シート'!A189),"")</f>
        <v/>
      </c>
      <c r="B189" s="11">
        <f>IFERROR(IF('入力シート'!$A189="","",'入力シート'!B189),"")</f>
        <v/>
      </c>
      <c r="C189" s="11">
        <f>IFERROR(IF('入力シート'!$A189="","",'入力シート'!C189),"")</f>
        <v/>
      </c>
      <c r="D189" s="11">
        <f>IFERROR(IF('入力シート'!$A189="","",'入力シート'!D189),"")</f>
        <v/>
      </c>
      <c r="E189" s="3">
        <f>IFERROR(IF('入力シート'!$A189="","",'入力シート'!I189),"")</f>
        <v/>
      </c>
      <c r="F189" s="3">
        <f>IFERROR(IF('入力シート'!$A189="","",'入力シート'!N189),"")</f>
        <v/>
      </c>
      <c r="G189" s="3">
        <f>IFERROR(IF('入力シート'!$A189="","",'入力シート'!O189),"")</f>
        <v/>
      </c>
      <c r="H189" s="17">
        <f>IFERROR(IF('入力シート'!$A189="","",'入力シート'!P189),"")</f>
        <v/>
      </c>
      <c r="I189" s="11">
        <f>IFERROR(IF('入力シート'!$A189="","",'入力シート'!Q189),"")</f>
        <v/>
      </c>
      <c r="J189" s="11">
        <f>IFERROR(IF('入力シート'!$A189="","",'入力シート'!R189),"")</f>
        <v/>
      </c>
      <c r="K189" s="11">
        <f>IFERROR(IF('入力シート'!$A189="","",IF(H189&gt;='設定'!$B$4,"OK",IF(H189&gt;='設定'!$B$5,"注意","要改善"))),"")</f>
        <v/>
      </c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</row>
    <row r="190" ht="26.75" customHeight="1">
      <c r="A190" s="11">
        <f>IFERROR(IF('入力シート'!$A190="","",'入力シート'!A190),"")</f>
        <v/>
      </c>
      <c r="B190" s="11">
        <f>IFERROR(IF('入力シート'!$A190="","",'入力シート'!B190),"")</f>
        <v/>
      </c>
      <c r="C190" s="11">
        <f>IFERROR(IF('入力シート'!$A190="","",'入力シート'!C190),"")</f>
        <v/>
      </c>
      <c r="D190" s="11">
        <f>IFERROR(IF('入力シート'!$A190="","",'入力シート'!D190),"")</f>
        <v/>
      </c>
      <c r="E190" s="3">
        <f>IFERROR(IF('入力シート'!$A190="","",'入力シート'!I190),"")</f>
        <v/>
      </c>
      <c r="F190" s="3">
        <f>IFERROR(IF('入力シート'!$A190="","",'入力シート'!N190),"")</f>
        <v/>
      </c>
      <c r="G190" s="3">
        <f>IFERROR(IF('入力シート'!$A190="","",'入力シート'!O190),"")</f>
        <v/>
      </c>
      <c r="H190" s="17">
        <f>IFERROR(IF('入力シート'!$A190="","",'入力シート'!P190),"")</f>
        <v/>
      </c>
      <c r="I190" s="11">
        <f>IFERROR(IF('入力シート'!$A190="","",'入力シート'!Q190),"")</f>
        <v/>
      </c>
      <c r="J190" s="11">
        <f>IFERROR(IF('入力シート'!$A190="","",'入力シート'!R190),"")</f>
        <v/>
      </c>
      <c r="K190" s="11">
        <f>IFERROR(IF('入力シート'!$A190="","",IF(H190&gt;='設定'!$B$4,"OK",IF(H190&gt;='設定'!$B$5,"注意","要改善"))),"")</f>
        <v/>
      </c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</row>
    <row r="191" ht="26.75" customHeight="1">
      <c r="A191" s="11">
        <f>IFERROR(IF('入力シート'!$A191="","",'入力シート'!A191),"")</f>
        <v/>
      </c>
      <c r="B191" s="11">
        <f>IFERROR(IF('入力シート'!$A191="","",'入力シート'!B191),"")</f>
        <v/>
      </c>
      <c r="C191" s="11">
        <f>IFERROR(IF('入力シート'!$A191="","",'入力シート'!C191),"")</f>
        <v/>
      </c>
      <c r="D191" s="11">
        <f>IFERROR(IF('入力シート'!$A191="","",'入力シート'!D191),"")</f>
        <v/>
      </c>
      <c r="E191" s="3">
        <f>IFERROR(IF('入力シート'!$A191="","",'入力シート'!I191),"")</f>
        <v/>
      </c>
      <c r="F191" s="3">
        <f>IFERROR(IF('入力シート'!$A191="","",'入力シート'!N191),"")</f>
        <v/>
      </c>
      <c r="G191" s="3">
        <f>IFERROR(IF('入力シート'!$A191="","",'入力シート'!O191),"")</f>
        <v/>
      </c>
      <c r="H191" s="17">
        <f>IFERROR(IF('入力シート'!$A191="","",'入力シート'!P191),"")</f>
        <v/>
      </c>
      <c r="I191" s="11">
        <f>IFERROR(IF('入力シート'!$A191="","",'入力シート'!Q191),"")</f>
        <v/>
      </c>
      <c r="J191" s="11">
        <f>IFERROR(IF('入力シート'!$A191="","",'入力シート'!R191),"")</f>
        <v/>
      </c>
      <c r="K191" s="11">
        <f>IFERROR(IF('入力シート'!$A191="","",IF(H191&gt;='設定'!$B$4,"OK",IF(H191&gt;='設定'!$B$5,"注意","要改善"))),"")</f>
        <v/>
      </c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</row>
    <row r="192" ht="26.75" customHeight="1">
      <c r="A192" s="11">
        <f>IFERROR(IF('入力シート'!$A192="","",'入力シート'!A192),"")</f>
        <v/>
      </c>
      <c r="B192" s="11">
        <f>IFERROR(IF('入力シート'!$A192="","",'入力シート'!B192),"")</f>
        <v/>
      </c>
      <c r="C192" s="11">
        <f>IFERROR(IF('入力シート'!$A192="","",'入力シート'!C192),"")</f>
        <v/>
      </c>
      <c r="D192" s="11">
        <f>IFERROR(IF('入力シート'!$A192="","",'入力シート'!D192),"")</f>
        <v/>
      </c>
      <c r="E192" s="3">
        <f>IFERROR(IF('入力シート'!$A192="","",'入力シート'!I192),"")</f>
        <v/>
      </c>
      <c r="F192" s="3">
        <f>IFERROR(IF('入力シート'!$A192="","",'入力シート'!N192),"")</f>
        <v/>
      </c>
      <c r="G192" s="3">
        <f>IFERROR(IF('入力シート'!$A192="","",'入力シート'!O192),"")</f>
        <v/>
      </c>
      <c r="H192" s="17">
        <f>IFERROR(IF('入力シート'!$A192="","",'入力シート'!P192),"")</f>
        <v/>
      </c>
      <c r="I192" s="11">
        <f>IFERROR(IF('入力シート'!$A192="","",'入力シート'!Q192),"")</f>
        <v/>
      </c>
      <c r="J192" s="11">
        <f>IFERROR(IF('入力シート'!$A192="","",'入力シート'!R192),"")</f>
        <v/>
      </c>
      <c r="K192" s="11">
        <f>IFERROR(IF('入力シート'!$A192="","",IF(H192&gt;='設定'!$B$4,"OK",IF(H192&gt;='設定'!$B$5,"注意","要改善"))),"")</f>
        <v/>
      </c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</row>
    <row r="193" ht="26.75" customHeight="1">
      <c r="A193" s="11">
        <f>IFERROR(IF('入力シート'!$A193="","",'入力シート'!A193),"")</f>
        <v/>
      </c>
      <c r="B193" s="11">
        <f>IFERROR(IF('入力シート'!$A193="","",'入力シート'!B193),"")</f>
        <v/>
      </c>
      <c r="C193" s="11">
        <f>IFERROR(IF('入力シート'!$A193="","",'入力シート'!C193),"")</f>
        <v/>
      </c>
      <c r="D193" s="11">
        <f>IFERROR(IF('入力シート'!$A193="","",'入力シート'!D193),"")</f>
        <v/>
      </c>
      <c r="E193" s="3">
        <f>IFERROR(IF('入力シート'!$A193="","",'入力シート'!I193),"")</f>
        <v/>
      </c>
      <c r="F193" s="3">
        <f>IFERROR(IF('入力シート'!$A193="","",'入力シート'!N193),"")</f>
        <v/>
      </c>
      <c r="G193" s="3">
        <f>IFERROR(IF('入力シート'!$A193="","",'入力シート'!O193),"")</f>
        <v/>
      </c>
      <c r="H193" s="17">
        <f>IFERROR(IF('入力シート'!$A193="","",'入力シート'!P193),"")</f>
        <v/>
      </c>
      <c r="I193" s="11">
        <f>IFERROR(IF('入力シート'!$A193="","",'入力シート'!Q193),"")</f>
        <v/>
      </c>
      <c r="J193" s="11">
        <f>IFERROR(IF('入力シート'!$A193="","",'入力シート'!R193),"")</f>
        <v/>
      </c>
      <c r="K193" s="11">
        <f>IFERROR(IF('入力シート'!$A193="","",IF(H193&gt;='設定'!$B$4,"OK",IF(H193&gt;='設定'!$B$5,"注意","要改善"))),"")</f>
        <v/>
      </c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</row>
    <row r="194" ht="26.75" customHeight="1">
      <c r="A194" s="11">
        <f>IFERROR(IF('入力シート'!$A194="","",'入力シート'!A194),"")</f>
        <v/>
      </c>
      <c r="B194" s="11">
        <f>IFERROR(IF('入力シート'!$A194="","",'入力シート'!B194),"")</f>
        <v/>
      </c>
      <c r="C194" s="11">
        <f>IFERROR(IF('入力シート'!$A194="","",'入力シート'!C194),"")</f>
        <v/>
      </c>
      <c r="D194" s="11">
        <f>IFERROR(IF('入力シート'!$A194="","",'入力シート'!D194),"")</f>
        <v/>
      </c>
      <c r="E194" s="3">
        <f>IFERROR(IF('入力シート'!$A194="","",'入力シート'!I194),"")</f>
        <v/>
      </c>
      <c r="F194" s="3">
        <f>IFERROR(IF('入力シート'!$A194="","",'入力シート'!N194),"")</f>
        <v/>
      </c>
      <c r="G194" s="3">
        <f>IFERROR(IF('入力シート'!$A194="","",'入力シート'!O194),"")</f>
        <v/>
      </c>
      <c r="H194" s="17">
        <f>IFERROR(IF('入力シート'!$A194="","",'入力シート'!P194),"")</f>
        <v/>
      </c>
      <c r="I194" s="11">
        <f>IFERROR(IF('入力シート'!$A194="","",'入力シート'!Q194),"")</f>
        <v/>
      </c>
      <c r="J194" s="11">
        <f>IFERROR(IF('入力シート'!$A194="","",'入力シート'!R194),"")</f>
        <v/>
      </c>
      <c r="K194" s="11">
        <f>IFERROR(IF('入力シート'!$A194="","",IF(H194&gt;='設定'!$B$4,"OK",IF(H194&gt;='設定'!$B$5,"注意","要改善"))),"")</f>
        <v/>
      </c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</row>
    <row r="195" ht="26.75" customHeight="1">
      <c r="A195" s="11">
        <f>IFERROR(IF('入力シート'!$A195="","",'入力シート'!A195),"")</f>
        <v/>
      </c>
      <c r="B195" s="11">
        <f>IFERROR(IF('入力シート'!$A195="","",'入力シート'!B195),"")</f>
        <v/>
      </c>
      <c r="C195" s="11">
        <f>IFERROR(IF('入力シート'!$A195="","",'入力シート'!C195),"")</f>
        <v/>
      </c>
      <c r="D195" s="11">
        <f>IFERROR(IF('入力シート'!$A195="","",'入力シート'!D195),"")</f>
        <v/>
      </c>
      <c r="E195" s="3">
        <f>IFERROR(IF('入力シート'!$A195="","",'入力シート'!I195),"")</f>
        <v/>
      </c>
      <c r="F195" s="3">
        <f>IFERROR(IF('入力シート'!$A195="","",'入力シート'!N195),"")</f>
        <v/>
      </c>
      <c r="G195" s="3">
        <f>IFERROR(IF('入力シート'!$A195="","",'入力シート'!O195),"")</f>
        <v/>
      </c>
      <c r="H195" s="17">
        <f>IFERROR(IF('入力シート'!$A195="","",'入力シート'!P195),"")</f>
        <v/>
      </c>
      <c r="I195" s="11">
        <f>IFERROR(IF('入力シート'!$A195="","",'入力シート'!Q195),"")</f>
        <v/>
      </c>
      <c r="J195" s="11">
        <f>IFERROR(IF('入力シート'!$A195="","",'入力シート'!R195),"")</f>
        <v/>
      </c>
      <c r="K195" s="11">
        <f>IFERROR(IF('入力シート'!$A195="","",IF(H195&gt;='設定'!$B$4,"OK",IF(H195&gt;='設定'!$B$5,"注意","要改善"))),"")</f>
        <v/>
      </c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</row>
    <row r="196" ht="26.75" customHeight="1">
      <c r="A196" s="11">
        <f>IFERROR(IF('入力シート'!$A196="","",'入力シート'!A196),"")</f>
        <v/>
      </c>
      <c r="B196" s="11">
        <f>IFERROR(IF('入力シート'!$A196="","",'入力シート'!B196),"")</f>
        <v/>
      </c>
      <c r="C196" s="11">
        <f>IFERROR(IF('入力シート'!$A196="","",'入力シート'!C196),"")</f>
        <v/>
      </c>
      <c r="D196" s="11">
        <f>IFERROR(IF('入力シート'!$A196="","",'入力シート'!D196),"")</f>
        <v/>
      </c>
      <c r="E196" s="3">
        <f>IFERROR(IF('入力シート'!$A196="","",'入力シート'!I196),"")</f>
        <v/>
      </c>
      <c r="F196" s="3">
        <f>IFERROR(IF('入力シート'!$A196="","",'入力シート'!N196),"")</f>
        <v/>
      </c>
      <c r="G196" s="3">
        <f>IFERROR(IF('入力シート'!$A196="","",'入力シート'!O196),"")</f>
        <v/>
      </c>
      <c r="H196" s="17">
        <f>IFERROR(IF('入力シート'!$A196="","",'入力シート'!P196),"")</f>
        <v/>
      </c>
      <c r="I196" s="11">
        <f>IFERROR(IF('入力シート'!$A196="","",'入力シート'!Q196),"")</f>
        <v/>
      </c>
      <c r="J196" s="11">
        <f>IFERROR(IF('入力シート'!$A196="","",'入力シート'!R196),"")</f>
        <v/>
      </c>
      <c r="K196" s="11">
        <f>IFERROR(IF('入力シート'!$A196="","",IF(H196&gt;='設定'!$B$4,"OK",IF(H196&gt;='設定'!$B$5,"注意","要改善"))),"")</f>
        <v/>
      </c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</row>
    <row r="197" ht="26.75" customHeight="1">
      <c r="A197" s="11">
        <f>IFERROR(IF('入力シート'!$A197="","",'入力シート'!A197),"")</f>
        <v/>
      </c>
      <c r="B197" s="11">
        <f>IFERROR(IF('入力シート'!$A197="","",'入力シート'!B197),"")</f>
        <v/>
      </c>
      <c r="C197" s="11">
        <f>IFERROR(IF('入力シート'!$A197="","",'入力シート'!C197),"")</f>
        <v/>
      </c>
      <c r="D197" s="11">
        <f>IFERROR(IF('入力シート'!$A197="","",'入力シート'!D197),"")</f>
        <v/>
      </c>
      <c r="E197" s="3">
        <f>IFERROR(IF('入力シート'!$A197="","",'入力シート'!I197),"")</f>
        <v/>
      </c>
      <c r="F197" s="3">
        <f>IFERROR(IF('入力シート'!$A197="","",'入力シート'!N197),"")</f>
        <v/>
      </c>
      <c r="G197" s="3">
        <f>IFERROR(IF('入力シート'!$A197="","",'入力シート'!O197),"")</f>
        <v/>
      </c>
      <c r="H197" s="17">
        <f>IFERROR(IF('入力シート'!$A197="","",'入力シート'!P197),"")</f>
        <v/>
      </c>
      <c r="I197" s="11">
        <f>IFERROR(IF('入力シート'!$A197="","",'入力シート'!Q197),"")</f>
        <v/>
      </c>
      <c r="J197" s="11">
        <f>IFERROR(IF('入力シート'!$A197="","",'入力シート'!R197),"")</f>
        <v/>
      </c>
      <c r="K197" s="11">
        <f>IFERROR(IF('入力シート'!$A197="","",IF(H197&gt;='設定'!$B$4,"OK",IF(H197&gt;='設定'!$B$5,"注意","要改善"))),"")</f>
        <v/>
      </c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</row>
    <row r="198" ht="26.75" customHeight="1">
      <c r="A198" s="11">
        <f>IFERROR(IF('入力シート'!$A198="","",'入力シート'!A198),"")</f>
        <v/>
      </c>
      <c r="B198" s="11">
        <f>IFERROR(IF('入力シート'!$A198="","",'入力シート'!B198),"")</f>
        <v/>
      </c>
      <c r="C198" s="11">
        <f>IFERROR(IF('入力シート'!$A198="","",'入力シート'!C198),"")</f>
        <v/>
      </c>
      <c r="D198" s="11">
        <f>IFERROR(IF('入力シート'!$A198="","",'入力シート'!D198),"")</f>
        <v/>
      </c>
      <c r="E198" s="3">
        <f>IFERROR(IF('入力シート'!$A198="","",'入力シート'!I198),"")</f>
        <v/>
      </c>
      <c r="F198" s="3">
        <f>IFERROR(IF('入力シート'!$A198="","",'入力シート'!N198),"")</f>
        <v/>
      </c>
      <c r="G198" s="3">
        <f>IFERROR(IF('入力シート'!$A198="","",'入力シート'!O198),"")</f>
        <v/>
      </c>
      <c r="H198" s="17">
        <f>IFERROR(IF('入力シート'!$A198="","",'入力シート'!P198),"")</f>
        <v/>
      </c>
      <c r="I198" s="11">
        <f>IFERROR(IF('入力シート'!$A198="","",'入力シート'!Q198),"")</f>
        <v/>
      </c>
      <c r="J198" s="11">
        <f>IFERROR(IF('入力シート'!$A198="","",'入力シート'!R198),"")</f>
        <v/>
      </c>
      <c r="K198" s="11">
        <f>IFERROR(IF('入力シート'!$A198="","",IF(H198&gt;='設定'!$B$4,"OK",IF(H198&gt;='設定'!$B$5,"注意","要改善"))),"")</f>
        <v/>
      </c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</row>
    <row r="199" ht="26.75" customHeight="1">
      <c r="A199" s="11">
        <f>IFERROR(IF('入力シート'!$A199="","",'入力シート'!A199),"")</f>
        <v/>
      </c>
      <c r="B199" s="11">
        <f>IFERROR(IF('入力シート'!$A199="","",'入力シート'!B199),"")</f>
        <v/>
      </c>
      <c r="C199" s="11">
        <f>IFERROR(IF('入力シート'!$A199="","",'入力シート'!C199),"")</f>
        <v/>
      </c>
      <c r="D199" s="11">
        <f>IFERROR(IF('入力シート'!$A199="","",'入力シート'!D199),"")</f>
        <v/>
      </c>
      <c r="E199" s="3">
        <f>IFERROR(IF('入力シート'!$A199="","",'入力シート'!I199),"")</f>
        <v/>
      </c>
      <c r="F199" s="3">
        <f>IFERROR(IF('入力シート'!$A199="","",'入力シート'!N199),"")</f>
        <v/>
      </c>
      <c r="G199" s="3">
        <f>IFERROR(IF('入力シート'!$A199="","",'入力シート'!O199),"")</f>
        <v/>
      </c>
      <c r="H199" s="17">
        <f>IFERROR(IF('入力シート'!$A199="","",'入力シート'!P199),"")</f>
        <v/>
      </c>
      <c r="I199" s="11">
        <f>IFERROR(IF('入力シート'!$A199="","",'入力シート'!Q199),"")</f>
        <v/>
      </c>
      <c r="J199" s="11">
        <f>IFERROR(IF('入力シート'!$A199="","",'入力シート'!R199),"")</f>
        <v/>
      </c>
      <c r="K199" s="11">
        <f>IFERROR(IF('入力シート'!$A199="","",IF(H199&gt;='設定'!$B$4,"OK",IF(H199&gt;='設定'!$B$5,"注意","要改善"))),"")</f>
        <v/>
      </c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</row>
    <row r="200" ht="26.75" customHeight="1">
      <c r="A200" s="11">
        <f>IFERROR(IF('入力シート'!$A200="","",'入力シート'!A200),"")</f>
        <v/>
      </c>
      <c r="B200" s="11">
        <f>IFERROR(IF('入力シート'!$A200="","",'入力シート'!B200),"")</f>
        <v/>
      </c>
      <c r="C200" s="11">
        <f>IFERROR(IF('入力シート'!$A200="","",'入力シート'!C200),"")</f>
        <v/>
      </c>
      <c r="D200" s="11">
        <f>IFERROR(IF('入力シート'!$A200="","",'入力シート'!D200),"")</f>
        <v/>
      </c>
      <c r="E200" s="3">
        <f>IFERROR(IF('入力シート'!$A200="","",'入力シート'!I200),"")</f>
        <v/>
      </c>
      <c r="F200" s="3">
        <f>IFERROR(IF('入力シート'!$A200="","",'入力シート'!N200),"")</f>
        <v/>
      </c>
      <c r="G200" s="3">
        <f>IFERROR(IF('入力シート'!$A200="","",'入力シート'!O200),"")</f>
        <v/>
      </c>
      <c r="H200" s="17">
        <f>IFERROR(IF('入力シート'!$A200="","",'入力シート'!P200),"")</f>
        <v/>
      </c>
      <c r="I200" s="11">
        <f>IFERROR(IF('入力シート'!$A200="","",'入力シート'!Q200),"")</f>
        <v/>
      </c>
      <c r="J200" s="11">
        <f>IFERROR(IF('入力シート'!$A200="","",'入力シート'!R200),"")</f>
        <v/>
      </c>
      <c r="K200" s="11">
        <f>IFERROR(IF('入力シート'!$A200="","",IF(H200&gt;='設定'!$B$4,"OK",IF(H200&gt;='設定'!$B$5,"注意","要改善"))),"")</f>
        <v/>
      </c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</row>
    <row r="201" ht="26.75" customHeight="1">
      <c r="A201" s="11">
        <f>IFERROR(IF('入力シート'!$A201="","",'入力シート'!A201),"")</f>
        <v/>
      </c>
      <c r="B201" s="11">
        <f>IFERROR(IF('入力シート'!$A201="","",'入力シート'!B201),"")</f>
        <v/>
      </c>
      <c r="C201" s="11">
        <f>IFERROR(IF('入力シート'!$A201="","",'入力シート'!C201),"")</f>
        <v/>
      </c>
      <c r="D201" s="11">
        <f>IFERROR(IF('入力シート'!$A201="","",'入力シート'!D201),"")</f>
        <v/>
      </c>
      <c r="E201" s="3">
        <f>IFERROR(IF('入力シート'!$A201="","",'入力シート'!I201),"")</f>
        <v/>
      </c>
      <c r="F201" s="3">
        <f>IFERROR(IF('入力シート'!$A201="","",'入力シート'!N201),"")</f>
        <v/>
      </c>
      <c r="G201" s="3">
        <f>IFERROR(IF('入力シート'!$A201="","",'入力シート'!O201),"")</f>
        <v/>
      </c>
      <c r="H201" s="17">
        <f>IFERROR(IF('入力シート'!$A201="","",'入力シート'!P201),"")</f>
        <v/>
      </c>
      <c r="I201" s="11">
        <f>IFERROR(IF('入力シート'!$A201="","",'入力シート'!Q201),"")</f>
        <v/>
      </c>
      <c r="J201" s="11">
        <f>IFERROR(IF('入力シート'!$A201="","",'入力シート'!R201),"")</f>
        <v/>
      </c>
      <c r="K201" s="11">
        <f>IFERROR(IF('入力シート'!$A201="","",IF(H201&gt;='設定'!$B$4,"OK",IF(H201&gt;='設定'!$B$5,"注意","要改善"))),"")</f>
        <v/>
      </c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</row>
    <row r="202" ht="26.75" customHeight="1">
      <c r="A202" s="11">
        <f>IFERROR(IF('入力シート'!$A202="","",'入力シート'!A202),"")</f>
        <v/>
      </c>
      <c r="B202" s="11">
        <f>IFERROR(IF('入力シート'!$A202="","",'入力シート'!B202),"")</f>
        <v/>
      </c>
      <c r="C202" s="11">
        <f>IFERROR(IF('入力シート'!$A202="","",'入力シート'!C202),"")</f>
        <v/>
      </c>
      <c r="D202" s="11">
        <f>IFERROR(IF('入力シート'!$A202="","",'入力シート'!D202),"")</f>
        <v/>
      </c>
      <c r="E202" s="3">
        <f>IFERROR(IF('入力シート'!$A202="","",'入力シート'!I202),"")</f>
        <v/>
      </c>
      <c r="F202" s="3">
        <f>IFERROR(IF('入力シート'!$A202="","",'入力シート'!N202),"")</f>
        <v/>
      </c>
      <c r="G202" s="3">
        <f>IFERROR(IF('入力シート'!$A202="","",'入力シート'!O202),"")</f>
        <v/>
      </c>
      <c r="H202" s="17">
        <f>IFERROR(IF('入力シート'!$A202="","",'入力シート'!P202),"")</f>
        <v/>
      </c>
      <c r="I202" s="11">
        <f>IFERROR(IF('入力シート'!$A202="","",'入力シート'!Q202),"")</f>
        <v/>
      </c>
      <c r="J202" s="11">
        <f>IFERROR(IF('入力シート'!$A202="","",'入力シート'!R202),"")</f>
        <v/>
      </c>
      <c r="K202" s="11">
        <f>IFERROR(IF('入力シート'!$A202="","",IF(H202&gt;='設定'!$B$4,"OK",IF(H202&gt;='設定'!$B$5,"注意","要改善"))),"")</f>
        <v/>
      </c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</row>
    <row r="203" ht="26.75" customHeight="1">
      <c r="A203" s="11">
        <f>IFERROR(IF('入力シート'!$A203="","",'入力シート'!A203),"")</f>
        <v/>
      </c>
      <c r="B203" s="11">
        <f>IFERROR(IF('入力シート'!$A203="","",'入力シート'!B203),"")</f>
        <v/>
      </c>
      <c r="C203" s="11">
        <f>IFERROR(IF('入力シート'!$A203="","",'入力シート'!C203),"")</f>
        <v/>
      </c>
      <c r="D203" s="11">
        <f>IFERROR(IF('入力シート'!$A203="","",'入力シート'!D203),"")</f>
        <v/>
      </c>
      <c r="E203" s="3">
        <f>IFERROR(IF('入力シート'!$A203="","",'入力シート'!I203),"")</f>
        <v/>
      </c>
      <c r="F203" s="3">
        <f>IFERROR(IF('入力シート'!$A203="","",'入力シート'!N203),"")</f>
        <v/>
      </c>
      <c r="G203" s="3">
        <f>IFERROR(IF('入力シート'!$A203="","",'入力シート'!O203),"")</f>
        <v/>
      </c>
      <c r="H203" s="17">
        <f>IFERROR(IF('入力シート'!$A203="","",'入力シート'!P203),"")</f>
        <v/>
      </c>
      <c r="I203" s="11">
        <f>IFERROR(IF('入力シート'!$A203="","",'入力シート'!Q203),"")</f>
        <v/>
      </c>
      <c r="J203" s="11">
        <f>IFERROR(IF('入力シート'!$A203="","",'入力シート'!R203),"")</f>
        <v/>
      </c>
      <c r="K203" s="11">
        <f>IFERROR(IF('入力シート'!$A203="","",IF(H203&gt;='設定'!$B$4,"OK",IF(H203&gt;='設定'!$B$5,"注意","要改善"))),"")</f>
        <v/>
      </c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</row>
    <row r="204" ht="26.75" customHeight="1">
      <c r="A204" s="11">
        <f>IFERROR(IF('入力シート'!$A204="","",'入力シート'!A204),"")</f>
        <v/>
      </c>
      <c r="B204" s="11">
        <f>IFERROR(IF('入力シート'!$A204="","",'入力シート'!B204),"")</f>
        <v/>
      </c>
      <c r="C204" s="11">
        <f>IFERROR(IF('入力シート'!$A204="","",'入力シート'!C204),"")</f>
        <v/>
      </c>
      <c r="D204" s="11">
        <f>IFERROR(IF('入力シート'!$A204="","",'入力シート'!D204),"")</f>
        <v/>
      </c>
      <c r="E204" s="3">
        <f>IFERROR(IF('入力シート'!$A204="","",'入力シート'!I204),"")</f>
        <v/>
      </c>
      <c r="F204" s="3">
        <f>IFERROR(IF('入力シート'!$A204="","",'入力シート'!N204),"")</f>
        <v/>
      </c>
      <c r="G204" s="3">
        <f>IFERROR(IF('入力シート'!$A204="","",'入力シート'!O204),"")</f>
        <v/>
      </c>
      <c r="H204" s="17">
        <f>IFERROR(IF('入力シート'!$A204="","",'入力シート'!P204),"")</f>
        <v/>
      </c>
      <c r="I204" s="11">
        <f>IFERROR(IF('入力シート'!$A204="","",'入力シート'!Q204),"")</f>
        <v/>
      </c>
      <c r="J204" s="11">
        <f>IFERROR(IF('入力シート'!$A204="","",'入力シート'!R204),"")</f>
        <v/>
      </c>
      <c r="K204" s="11">
        <f>IFERROR(IF('入力シート'!$A204="","",IF(H204&gt;='設定'!$B$4,"OK",IF(H204&gt;='設定'!$B$5,"注意","要改善"))),"")</f>
        <v/>
      </c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</row>
    <row r="205" ht="26.75" customHeight="1">
      <c r="A205" s="11">
        <f>IFERROR(IF('入力シート'!$A205="","",'入力シート'!A205),"")</f>
        <v/>
      </c>
      <c r="B205" s="11">
        <f>IFERROR(IF('入力シート'!$A205="","",'入力シート'!B205),"")</f>
        <v/>
      </c>
      <c r="C205" s="11">
        <f>IFERROR(IF('入力シート'!$A205="","",'入力シート'!C205),"")</f>
        <v/>
      </c>
      <c r="D205" s="11">
        <f>IFERROR(IF('入力シート'!$A205="","",'入力シート'!D205),"")</f>
        <v/>
      </c>
      <c r="E205" s="3">
        <f>IFERROR(IF('入力シート'!$A205="","",'入力シート'!I205),"")</f>
        <v/>
      </c>
      <c r="F205" s="3">
        <f>IFERROR(IF('入力シート'!$A205="","",'入力シート'!N205),"")</f>
        <v/>
      </c>
      <c r="G205" s="3">
        <f>IFERROR(IF('入力シート'!$A205="","",'入力シート'!O205),"")</f>
        <v/>
      </c>
      <c r="H205" s="17">
        <f>IFERROR(IF('入力シート'!$A205="","",'入力シート'!P205),"")</f>
        <v/>
      </c>
      <c r="I205" s="11">
        <f>IFERROR(IF('入力シート'!$A205="","",'入力シート'!Q205),"")</f>
        <v/>
      </c>
      <c r="J205" s="11">
        <f>IFERROR(IF('入力シート'!$A205="","",'入力シート'!R205),"")</f>
        <v/>
      </c>
      <c r="K205" s="11">
        <f>IFERROR(IF('入力シート'!$A205="","",IF(H205&gt;='設定'!$B$4,"OK",IF(H205&gt;='設定'!$B$5,"注意","要改善"))),"")</f>
        <v/>
      </c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</row>
    <row r="206" ht="26.75" customHeight="1">
      <c r="A206" s="11">
        <f>IFERROR(IF('入力シート'!$A206="","",'入力シート'!A206),"")</f>
        <v/>
      </c>
      <c r="B206" s="11">
        <f>IFERROR(IF('入力シート'!$A206="","",'入力シート'!B206),"")</f>
        <v/>
      </c>
      <c r="C206" s="11">
        <f>IFERROR(IF('入力シート'!$A206="","",'入力シート'!C206),"")</f>
        <v/>
      </c>
      <c r="D206" s="11">
        <f>IFERROR(IF('入力シート'!$A206="","",'入力シート'!D206),"")</f>
        <v/>
      </c>
      <c r="E206" s="3">
        <f>IFERROR(IF('入力シート'!$A206="","",'入力シート'!I206),"")</f>
        <v/>
      </c>
      <c r="F206" s="3">
        <f>IFERROR(IF('入力シート'!$A206="","",'入力シート'!N206),"")</f>
        <v/>
      </c>
      <c r="G206" s="3">
        <f>IFERROR(IF('入力シート'!$A206="","",'入力シート'!O206),"")</f>
        <v/>
      </c>
      <c r="H206" s="17">
        <f>IFERROR(IF('入力シート'!$A206="","",'入力シート'!P206),"")</f>
        <v/>
      </c>
      <c r="I206" s="11">
        <f>IFERROR(IF('入力シート'!$A206="","",'入力シート'!Q206),"")</f>
        <v/>
      </c>
      <c r="J206" s="11">
        <f>IFERROR(IF('入力シート'!$A206="","",'入力シート'!R206),"")</f>
        <v/>
      </c>
      <c r="K206" s="11">
        <f>IFERROR(IF('入力シート'!$A206="","",IF(H206&gt;='設定'!$B$4,"OK",IF(H206&gt;='設定'!$B$5,"注意","要改善"))),"")</f>
        <v/>
      </c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</row>
    <row r="207" ht="26.75" customHeight="1">
      <c r="A207" s="11">
        <f>IFERROR(IF('入力シート'!$A207="","",'入力シート'!A207),"")</f>
        <v/>
      </c>
      <c r="B207" s="11">
        <f>IFERROR(IF('入力シート'!$A207="","",'入力シート'!B207),"")</f>
        <v/>
      </c>
      <c r="C207" s="11">
        <f>IFERROR(IF('入力シート'!$A207="","",'入力シート'!C207),"")</f>
        <v/>
      </c>
      <c r="D207" s="11">
        <f>IFERROR(IF('入力シート'!$A207="","",'入力シート'!D207),"")</f>
        <v/>
      </c>
      <c r="E207" s="3">
        <f>IFERROR(IF('入力シート'!$A207="","",'入力シート'!I207),"")</f>
        <v/>
      </c>
      <c r="F207" s="3">
        <f>IFERROR(IF('入力シート'!$A207="","",'入力シート'!N207),"")</f>
        <v/>
      </c>
      <c r="G207" s="3">
        <f>IFERROR(IF('入力シート'!$A207="","",'入力シート'!O207),"")</f>
        <v/>
      </c>
      <c r="H207" s="17">
        <f>IFERROR(IF('入力シート'!$A207="","",'入力シート'!P207),"")</f>
        <v/>
      </c>
      <c r="I207" s="11">
        <f>IFERROR(IF('入力シート'!$A207="","",'入力シート'!Q207),"")</f>
        <v/>
      </c>
      <c r="J207" s="11">
        <f>IFERROR(IF('入力シート'!$A207="","",'入力シート'!R207),"")</f>
        <v/>
      </c>
      <c r="K207" s="11">
        <f>IFERROR(IF('入力シート'!$A207="","",IF(H207&gt;='設定'!$B$4,"OK",IF(H207&gt;='設定'!$B$5,"注意","要改善"))),"")</f>
        <v/>
      </c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</row>
    <row r="208" ht="26.75" customHeight="1">
      <c r="A208" s="11">
        <f>IFERROR(IF('入力シート'!$A208="","",'入力シート'!A208),"")</f>
        <v/>
      </c>
      <c r="B208" s="11">
        <f>IFERROR(IF('入力シート'!$A208="","",'入力シート'!B208),"")</f>
        <v/>
      </c>
      <c r="C208" s="11">
        <f>IFERROR(IF('入力シート'!$A208="","",'入力シート'!C208),"")</f>
        <v/>
      </c>
      <c r="D208" s="11">
        <f>IFERROR(IF('入力シート'!$A208="","",'入力シート'!D208),"")</f>
        <v/>
      </c>
      <c r="E208" s="3">
        <f>IFERROR(IF('入力シート'!$A208="","",'入力シート'!I208),"")</f>
        <v/>
      </c>
      <c r="F208" s="3">
        <f>IFERROR(IF('入力シート'!$A208="","",'入力シート'!N208),"")</f>
        <v/>
      </c>
      <c r="G208" s="3">
        <f>IFERROR(IF('入力シート'!$A208="","",'入力シート'!O208),"")</f>
        <v/>
      </c>
      <c r="H208" s="17">
        <f>IFERROR(IF('入力シート'!$A208="","",'入力シート'!P208),"")</f>
        <v/>
      </c>
      <c r="I208" s="11">
        <f>IFERROR(IF('入力シート'!$A208="","",'入力シート'!Q208),"")</f>
        <v/>
      </c>
      <c r="J208" s="11">
        <f>IFERROR(IF('入力シート'!$A208="","",'入力シート'!R208),"")</f>
        <v/>
      </c>
      <c r="K208" s="11">
        <f>IFERROR(IF('入力シート'!$A208="","",IF(H208&gt;='設定'!$B$4,"OK",IF(H208&gt;='設定'!$B$5,"注意","要改善"))),"")</f>
        <v/>
      </c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</row>
    <row r="209" ht="26.75" customHeight="1">
      <c r="A209" s="11">
        <f>IFERROR(IF('入力シート'!$A209="","",'入力シート'!A209),"")</f>
        <v/>
      </c>
      <c r="B209" s="11">
        <f>IFERROR(IF('入力シート'!$A209="","",'入力シート'!B209),"")</f>
        <v/>
      </c>
      <c r="C209" s="11">
        <f>IFERROR(IF('入力シート'!$A209="","",'入力シート'!C209),"")</f>
        <v/>
      </c>
      <c r="D209" s="11">
        <f>IFERROR(IF('入力シート'!$A209="","",'入力シート'!D209),"")</f>
        <v/>
      </c>
      <c r="E209" s="3">
        <f>IFERROR(IF('入力シート'!$A209="","",'入力シート'!I209),"")</f>
        <v/>
      </c>
      <c r="F209" s="3">
        <f>IFERROR(IF('入力シート'!$A209="","",'入力シート'!N209),"")</f>
        <v/>
      </c>
      <c r="G209" s="3">
        <f>IFERROR(IF('入力シート'!$A209="","",'入力シート'!O209),"")</f>
        <v/>
      </c>
      <c r="H209" s="17">
        <f>IFERROR(IF('入力シート'!$A209="","",'入力シート'!P209),"")</f>
        <v/>
      </c>
      <c r="I209" s="11">
        <f>IFERROR(IF('入力シート'!$A209="","",'入力シート'!Q209),"")</f>
        <v/>
      </c>
      <c r="J209" s="11">
        <f>IFERROR(IF('入力シート'!$A209="","",'入力シート'!R209),"")</f>
        <v/>
      </c>
      <c r="K209" s="11">
        <f>IFERROR(IF('入力シート'!$A209="","",IF(H209&gt;='設定'!$B$4,"OK",IF(H209&gt;='設定'!$B$5,"注意","要改善"))),"")</f>
        <v/>
      </c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</row>
    <row r="210" ht="26.75" customHeight="1">
      <c r="A210" s="11">
        <f>IFERROR(IF('入力シート'!$A210="","",'入力シート'!A210),"")</f>
        <v/>
      </c>
      <c r="B210" s="11">
        <f>IFERROR(IF('入力シート'!$A210="","",'入力シート'!B210),"")</f>
        <v/>
      </c>
      <c r="C210" s="11">
        <f>IFERROR(IF('入力シート'!$A210="","",'入力シート'!C210),"")</f>
        <v/>
      </c>
      <c r="D210" s="11">
        <f>IFERROR(IF('入力シート'!$A210="","",'入力シート'!D210),"")</f>
        <v/>
      </c>
      <c r="E210" s="3">
        <f>IFERROR(IF('入力シート'!$A210="","",'入力シート'!I210),"")</f>
        <v/>
      </c>
      <c r="F210" s="3">
        <f>IFERROR(IF('入力シート'!$A210="","",'入力シート'!N210),"")</f>
        <v/>
      </c>
      <c r="G210" s="3">
        <f>IFERROR(IF('入力シート'!$A210="","",'入力シート'!O210),"")</f>
        <v/>
      </c>
      <c r="H210" s="17">
        <f>IFERROR(IF('入力シート'!$A210="","",'入力シート'!P210),"")</f>
        <v/>
      </c>
      <c r="I210" s="11">
        <f>IFERROR(IF('入力シート'!$A210="","",'入力シート'!Q210),"")</f>
        <v/>
      </c>
      <c r="J210" s="11">
        <f>IFERROR(IF('入力シート'!$A210="","",'入力シート'!R210),"")</f>
        <v/>
      </c>
      <c r="K210" s="11">
        <f>IFERROR(IF('入力シート'!$A210="","",IF(H210&gt;='設定'!$B$4,"OK",IF(H210&gt;='設定'!$B$5,"注意","要改善"))),"")</f>
        <v/>
      </c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</row>
    <row r="211" ht="26.75" customHeight="1">
      <c r="A211" s="11">
        <f>IFERROR(IF('入力シート'!$A211="","",'入力シート'!A211),"")</f>
        <v/>
      </c>
      <c r="B211" s="11">
        <f>IFERROR(IF('入力シート'!$A211="","",'入力シート'!B211),"")</f>
        <v/>
      </c>
      <c r="C211" s="11">
        <f>IFERROR(IF('入力シート'!$A211="","",'入力シート'!C211),"")</f>
        <v/>
      </c>
      <c r="D211" s="11">
        <f>IFERROR(IF('入力シート'!$A211="","",'入力シート'!D211),"")</f>
        <v/>
      </c>
      <c r="E211" s="3">
        <f>IFERROR(IF('入力シート'!$A211="","",'入力シート'!I211),"")</f>
        <v/>
      </c>
      <c r="F211" s="3">
        <f>IFERROR(IF('入力シート'!$A211="","",'入力シート'!N211),"")</f>
        <v/>
      </c>
      <c r="G211" s="3">
        <f>IFERROR(IF('入力シート'!$A211="","",'入力シート'!O211),"")</f>
        <v/>
      </c>
      <c r="H211" s="17">
        <f>IFERROR(IF('入力シート'!$A211="","",'入力シート'!P211),"")</f>
        <v/>
      </c>
      <c r="I211" s="11">
        <f>IFERROR(IF('入力シート'!$A211="","",'入力シート'!Q211),"")</f>
        <v/>
      </c>
      <c r="J211" s="11">
        <f>IFERROR(IF('入力シート'!$A211="","",'入力シート'!R211),"")</f>
        <v/>
      </c>
      <c r="K211" s="11">
        <f>IFERROR(IF('入力シート'!$A211="","",IF(H211&gt;='設定'!$B$4,"OK",IF(H211&gt;='設定'!$B$5,"注意","要改善"))),"")</f>
        <v/>
      </c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</row>
    <row r="212" ht="26.75" customHeight="1">
      <c r="A212" s="11">
        <f>IFERROR(IF('入力シート'!$A212="","",'入力シート'!A212),"")</f>
        <v/>
      </c>
      <c r="B212" s="11">
        <f>IFERROR(IF('入力シート'!$A212="","",'入力シート'!B212),"")</f>
        <v/>
      </c>
      <c r="C212" s="11">
        <f>IFERROR(IF('入力シート'!$A212="","",'入力シート'!C212),"")</f>
        <v/>
      </c>
      <c r="D212" s="11">
        <f>IFERROR(IF('入力シート'!$A212="","",'入力シート'!D212),"")</f>
        <v/>
      </c>
      <c r="E212" s="3">
        <f>IFERROR(IF('入力シート'!$A212="","",'入力シート'!I212),"")</f>
        <v/>
      </c>
      <c r="F212" s="3">
        <f>IFERROR(IF('入力シート'!$A212="","",'入力シート'!N212),"")</f>
        <v/>
      </c>
      <c r="G212" s="3">
        <f>IFERROR(IF('入力シート'!$A212="","",'入力シート'!O212),"")</f>
        <v/>
      </c>
      <c r="H212" s="17">
        <f>IFERROR(IF('入力シート'!$A212="","",'入力シート'!P212),"")</f>
        <v/>
      </c>
      <c r="I212" s="11">
        <f>IFERROR(IF('入力シート'!$A212="","",'入力シート'!Q212),"")</f>
        <v/>
      </c>
      <c r="J212" s="11">
        <f>IFERROR(IF('入力シート'!$A212="","",'入力シート'!R212),"")</f>
        <v/>
      </c>
      <c r="K212" s="11">
        <f>IFERROR(IF('入力シート'!$A212="","",IF(H212&gt;='設定'!$B$4,"OK",IF(H212&gt;='設定'!$B$5,"注意","要改善"))),"")</f>
        <v/>
      </c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</row>
    <row r="213" ht="26.75" customHeight="1">
      <c r="A213" s="11">
        <f>IFERROR(IF('入力シート'!$A213="","",'入力シート'!A213),"")</f>
        <v/>
      </c>
      <c r="B213" s="11">
        <f>IFERROR(IF('入力シート'!$A213="","",'入力シート'!B213),"")</f>
        <v/>
      </c>
      <c r="C213" s="11">
        <f>IFERROR(IF('入力シート'!$A213="","",'入力シート'!C213),"")</f>
        <v/>
      </c>
      <c r="D213" s="11">
        <f>IFERROR(IF('入力シート'!$A213="","",'入力シート'!D213),"")</f>
        <v/>
      </c>
      <c r="E213" s="3">
        <f>IFERROR(IF('入力シート'!$A213="","",'入力シート'!I213),"")</f>
        <v/>
      </c>
      <c r="F213" s="3">
        <f>IFERROR(IF('入力シート'!$A213="","",'入力シート'!N213),"")</f>
        <v/>
      </c>
      <c r="G213" s="3">
        <f>IFERROR(IF('入力シート'!$A213="","",'入力シート'!O213),"")</f>
        <v/>
      </c>
      <c r="H213" s="17">
        <f>IFERROR(IF('入力シート'!$A213="","",'入力シート'!P213),"")</f>
        <v/>
      </c>
      <c r="I213" s="11">
        <f>IFERROR(IF('入力シート'!$A213="","",'入力シート'!Q213),"")</f>
        <v/>
      </c>
      <c r="J213" s="11">
        <f>IFERROR(IF('入力シート'!$A213="","",'入力シート'!R213),"")</f>
        <v/>
      </c>
      <c r="K213" s="11">
        <f>IFERROR(IF('入力シート'!$A213="","",IF(H213&gt;='設定'!$B$4,"OK",IF(H213&gt;='設定'!$B$5,"注意","要改善"))),"")</f>
        <v/>
      </c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</row>
    <row r="214" ht="26.75" customHeight="1">
      <c r="A214" s="11">
        <f>IFERROR(IF('入力シート'!$A214="","",'入力シート'!A214),"")</f>
        <v/>
      </c>
      <c r="B214" s="11">
        <f>IFERROR(IF('入力シート'!$A214="","",'入力シート'!B214),"")</f>
        <v/>
      </c>
      <c r="C214" s="11">
        <f>IFERROR(IF('入力シート'!$A214="","",'入力シート'!C214),"")</f>
        <v/>
      </c>
      <c r="D214" s="11">
        <f>IFERROR(IF('入力シート'!$A214="","",'入力シート'!D214),"")</f>
        <v/>
      </c>
      <c r="E214" s="3">
        <f>IFERROR(IF('入力シート'!$A214="","",'入力シート'!I214),"")</f>
        <v/>
      </c>
      <c r="F214" s="3">
        <f>IFERROR(IF('入力シート'!$A214="","",'入力シート'!N214),"")</f>
        <v/>
      </c>
      <c r="G214" s="3">
        <f>IFERROR(IF('入力シート'!$A214="","",'入力シート'!O214),"")</f>
        <v/>
      </c>
      <c r="H214" s="17">
        <f>IFERROR(IF('入力シート'!$A214="","",'入力シート'!P214),"")</f>
        <v/>
      </c>
      <c r="I214" s="11">
        <f>IFERROR(IF('入力シート'!$A214="","",'入力シート'!Q214),"")</f>
        <v/>
      </c>
      <c r="J214" s="11">
        <f>IFERROR(IF('入力シート'!$A214="","",'入力シート'!R214),"")</f>
        <v/>
      </c>
      <c r="K214" s="11">
        <f>IFERROR(IF('入力シート'!$A214="","",IF(H214&gt;='設定'!$B$4,"OK",IF(H214&gt;='設定'!$B$5,"注意","要改善"))),"")</f>
        <v/>
      </c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</row>
    <row r="215" ht="26.75" customHeight="1">
      <c r="A215" s="11">
        <f>IFERROR(IF('入力シート'!$A215="","",'入力シート'!A215),"")</f>
        <v/>
      </c>
      <c r="B215" s="11">
        <f>IFERROR(IF('入力シート'!$A215="","",'入力シート'!B215),"")</f>
        <v/>
      </c>
      <c r="C215" s="11">
        <f>IFERROR(IF('入力シート'!$A215="","",'入力シート'!C215),"")</f>
        <v/>
      </c>
      <c r="D215" s="11">
        <f>IFERROR(IF('入力シート'!$A215="","",'入力シート'!D215),"")</f>
        <v/>
      </c>
      <c r="E215" s="3">
        <f>IFERROR(IF('入力シート'!$A215="","",'入力シート'!I215),"")</f>
        <v/>
      </c>
      <c r="F215" s="3">
        <f>IFERROR(IF('入力シート'!$A215="","",'入力シート'!N215),"")</f>
        <v/>
      </c>
      <c r="G215" s="3">
        <f>IFERROR(IF('入力シート'!$A215="","",'入力シート'!O215),"")</f>
        <v/>
      </c>
      <c r="H215" s="17">
        <f>IFERROR(IF('入力シート'!$A215="","",'入力シート'!P215),"")</f>
        <v/>
      </c>
      <c r="I215" s="11">
        <f>IFERROR(IF('入力シート'!$A215="","",'入力シート'!Q215),"")</f>
        <v/>
      </c>
      <c r="J215" s="11">
        <f>IFERROR(IF('入力シート'!$A215="","",'入力シート'!R215),"")</f>
        <v/>
      </c>
      <c r="K215" s="11">
        <f>IFERROR(IF('入力シート'!$A215="","",IF(H215&gt;='設定'!$B$4,"OK",IF(H215&gt;='設定'!$B$5,"注意","要改善"))),"")</f>
        <v/>
      </c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</row>
    <row r="216" ht="26.75" customHeight="1">
      <c r="A216" s="11">
        <f>IFERROR(IF('入力シート'!$A216="","",'入力シート'!A216),"")</f>
        <v/>
      </c>
      <c r="B216" s="11">
        <f>IFERROR(IF('入力シート'!$A216="","",'入力シート'!B216),"")</f>
        <v/>
      </c>
      <c r="C216" s="11">
        <f>IFERROR(IF('入力シート'!$A216="","",'入力シート'!C216),"")</f>
        <v/>
      </c>
      <c r="D216" s="11">
        <f>IFERROR(IF('入力シート'!$A216="","",'入力シート'!D216),"")</f>
        <v/>
      </c>
      <c r="E216" s="3">
        <f>IFERROR(IF('入力シート'!$A216="","",'入力シート'!I216),"")</f>
        <v/>
      </c>
      <c r="F216" s="3">
        <f>IFERROR(IF('入力シート'!$A216="","",'入力シート'!N216),"")</f>
        <v/>
      </c>
      <c r="G216" s="3">
        <f>IFERROR(IF('入力シート'!$A216="","",'入力シート'!O216),"")</f>
        <v/>
      </c>
      <c r="H216" s="17">
        <f>IFERROR(IF('入力シート'!$A216="","",'入力シート'!P216),"")</f>
        <v/>
      </c>
      <c r="I216" s="11">
        <f>IFERROR(IF('入力シート'!$A216="","",'入力シート'!Q216),"")</f>
        <v/>
      </c>
      <c r="J216" s="11">
        <f>IFERROR(IF('入力シート'!$A216="","",'入力シート'!R216),"")</f>
        <v/>
      </c>
      <c r="K216" s="11">
        <f>IFERROR(IF('入力シート'!$A216="","",IF(H216&gt;='設定'!$B$4,"OK",IF(H216&gt;='設定'!$B$5,"注意","要改善"))),"")</f>
        <v/>
      </c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</row>
    <row r="217" ht="26.75" customHeight="1">
      <c r="A217" s="11">
        <f>IFERROR(IF('入力シート'!$A217="","",'入力シート'!A217),"")</f>
        <v/>
      </c>
      <c r="B217" s="11">
        <f>IFERROR(IF('入力シート'!$A217="","",'入力シート'!B217),"")</f>
        <v/>
      </c>
      <c r="C217" s="11">
        <f>IFERROR(IF('入力シート'!$A217="","",'入力シート'!C217),"")</f>
        <v/>
      </c>
      <c r="D217" s="11">
        <f>IFERROR(IF('入力シート'!$A217="","",'入力シート'!D217),"")</f>
        <v/>
      </c>
      <c r="E217" s="3">
        <f>IFERROR(IF('入力シート'!$A217="","",'入力シート'!I217),"")</f>
        <v/>
      </c>
      <c r="F217" s="3">
        <f>IFERROR(IF('入力シート'!$A217="","",'入力シート'!N217),"")</f>
        <v/>
      </c>
      <c r="G217" s="3">
        <f>IFERROR(IF('入力シート'!$A217="","",'入力シート'!O217),"")</f>
        <v/>
      </c>
      <c r="H217" s="17">
        <f>IFERROR(IF('入力シート'!$A217="","",'入力シート'!P217),"")</f>
        <v/>
      </c>
      <c r="I217" s="11">
        <f>IFERROR(IF('入力シート'!$A217="","",'入力シート'!Q217),"")</f>
        <v/>
      </c>
      <c r="J217" s="11">
        <f>IFERROR(IF('入力シート'!$A217="","",'入力シート'!R217),"")</f>
        <v/>
      </c>
      <c r="K217" s="11">
        <f>IFERROR(IF('入力シート'!$A217="","",IF(H217&gt;='設定'!$B$4,"OK",IF(H217&gt;='設定'!$B$5,"注意","要改善"))),"")</f>
        <v/>
      </c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</row>
    <row r="218" ht="26.75" customHeight="1">
      <c r="A218" s="11">
        <f>IFERROR(IF('入力シート'!$A218="","",'入力シート'!A218),"")</f>
        <v/>
      </c>
      <c r="B218" s="11">
        <f>IFERROR(IF('入力シート'!$A218="","",'入力シート'!B218),"")</f>
        <v/>
      </c>
      <c r="C218" s="11">
        <f>IFERROR(IF('入力シート'!$A218="","",'入力シート'!C218),"")</f>
        <v/>
      </c>
      <c r="D218" s="11">
        <f>IFERROR(IF('入力シート'!$A218="","",'入力シート'!D218),"")</f>
        <v/>
      </c>
      <c r="E218" s="3">
        <f>IFERROR(IF('入力シート'!$A218="","",'入力シート'!I218),"")</f>
        <v/>
      </c>
      <c r="F218" s="3">
        <f>IFERROR(IF('入力シート'!$A218="","",'入力シート'!N218),"")</f>
        <v/>
      </c>
      <c r="G218" s="3">
        <f>IFERROR(IF('入力シート'!$A218="","",'入力シート'!O218),"")</f>
        <v/>
      </c>
      <c r="H218" s="17">
        <f>IFERROR(IF('入力シート'!$A218="","",'入力シート'!P218),"")</f>
        <v/>
      </c>
      <c r="I218" s="11">
        <f>IFERROR(IF('入力シート'!$A218="","",'入力シート'!Q218),"")</f>
        <v/>
      </c>
      <c r="J218" s="11">
        <f>IFERROR(IF('入力シート'!$A218="","",'入力シート'!R218),"")</f>
        <v/>
      </c>
      <c r="K218" s="11">
        <f>IFERROR(IF('入力シート'!$A218="","",IF(H218&gt;='設定'!$B$4,"OK",IF(H218&gt;='設定'!$B$5,"注意","要改善"))),"")</f>
        <v/>
      </c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</row>
    <row r="219" ht="26.75" customHeight="1">
      <c r="A219" s="11">
        <f>IFERROR(IF('入力シート'!$A219="","",'入力シート'!A219),"")</f>
        <v/>
      </c>
      <c r="B219" s="11">
        <f>IFERROR(IF('入力シート'!$A219="","",'入力シート'!B219),"")</f>
        <v/>
      </c>
      <c r="C219" s="11">
        <f>IFERROR(IF('入力シート'!$A219="","",'入力シート'!C219),"")</f>
        <v/>
      </c>
      <c r="D219" s="11">
        <f>IFERROR(IF('入力シート'!$A219="","",'入力シート'!D219),"")</f>
        <v/>
      </c>
      <c r="E219" s="3">
        <f>IFERROR(IF('入力シート'!$A219="","",'入力シート'!I219),"")</f>
        <v/>
      </c>
      <c r="F219" s="3">
        <f>IFERROR(IF('入力シート'!$A219="","",'入力シート'!N219),"")</f>
        <v/>
      </c>
      <c r="G219" s="3">
        <f>IFERROR(IF('入力シート'!$A219="","",'入力シート'!O219),"")</f>
        <v/>
      </c>
      <c r="H219" s="17">
        <f>IFERROR(IF('入力シート'!$A219="","",'入力シート'!P219),"")</f>
        <v/>
      </c>
      <c r="I219" s="11">
        <f>IFERROR(IF('入力シート'!$A219="","",'入力シート'!Q219),"")</f>
        <v/>
      </c>
      <c r="J219" s="11">
        <f>IFERROR(IF('入力シート'!$A219="","",'入力シート'!R219),"")</f>
        <v/>
      </c>
      <c r="K219" s="11">
        <f>IFERROR(IF('入力シート'!$A219="","",IF(H219&gt;='設定'!$B$4,"OK",IF(H219&gt;='設定'!$B$5,"注意","要改善"))),"")</f>
        <v/>
      </c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</row>
    <row r="220" ht="26.75" customHeight="1">
      <c r="A220" s="11">
        <f>IFERROR(IF('入力シート'!$A220="","",'入力シート'!A220),"")</f>
        <v/>
      </c>
      <c r="B220" s="11">
        <f>IFERROR(IF('入力シート'!$A220="","",'入力シート'!B220),"")</f>
        <v/>
      </c>
      <c r="C220" s="11">
        <f>IFERROR(IF('入力シート'!$A220="","",'入力シート'!C220),"")</f>
        <v/>
      </c>
      <c r="D220" s="11">
        <f>IFERROR(IF('入力シート'!$A220="","",'入力シート'!D220),"")</f>
        <v/>
      </c>
      <c r="E220" s="3">
        <f>IFERROR(IF('入力シート'!$A220="","",'入力シート'!I220),"")</f>
        <v/>
      </c>
      <c r="F220" s="3">
        <f>IFERROR(IF('入力シート'!$A220="","",'入力シート'!N220),"")</f>
        <v/>
      </c>
      <c r="G220" s="3">
        <f>IFERROR(IF('入力シート'!$A220="","",'入力シート'!O220),"")</f>
        <v/>
      </c>
      <c r="H220" s="17">
        <f>IFERROR(IF('入力シート'!$A220="","",'入力シート'!P220),"")</f>
        <v/>
      </c>
      <c r="I220" s="11">
        <f>IFERROR(IF('入力シート'!$A220="","",'入力シート'!Q220),"")</f>
        <v/>
      </c>
      <c r="J220" s="11">
        <f>IFERROR(IF('入力シート'!$A220="","",'入力シート'!R220),"")</f>
        <v/>
      </c>
      <c r="K220" s="11">
        <f>IFERROR(IF('入力シート'!$A220="","",IF(H220&gt;='設定'!$B$4,"OK",IF(H220&gt;='設定'!$B$5,"注意","要改善"))),"")</f>
        <v/>
      </c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</row>
    <row r="221" ht="26.75" customHeight="1">
      <c r="A221" s="11">
        <f>IFERROR(IF('入力シート'!$A221="","",'入力シート'!A221),"")</f>
        <v/>
      </c>
      <c r="B221" s="11">
        <f>IFERROR(IF('入力シート'!$A221="","",'入力シート'!B221),"")</f>
        <v/>
      </c>
      <c r="C221" s="11">
        <f>IFERROR(IF('入力シート'!$A221="","",'入力シート'!C221),"")</f>
        <v/>
      </c>
      <c r="D221" s="11">
        <f>IFERROR(IF('入力シート'!$A221="","",'入力シート'!D221),"")</f>
        <v/>
      </c>
      <c r="E221" s="3">
        <f>IFERROR(IF('入力シート'!$A221="","",'入力シート'!I221),"")</f>
        <v/>
      </c>
      <c r="F221" s="3">
        <f>IFERROR(IF('入力シート'!$A221="","",'入力シート'!N221),"")</f>
        <v/>
      </c>
      <c r="G221" s="3">
        <f>IFERROR(IF('入力シート'!$A221="","",'入力シート'!O221),"")</f>
        <v/>
      </c>
      <c r="H221" s="17">
        <f>IFERROR(IF('入力シート'!$A221="","",'入力シート'!P221),"")</f>
        <v/>
      </c>
      <c r="I221" s="11">
        <f>IFERROR(IF('入力シート'!$A221="","",'入力シート'!Q221),"")</f>
        <v/>
      </c>
      <c r="J221" s="11">
        <f>IFERROR(IF('入力シート'!$A221="","",'入力シート'!R221),"")</f>
        <v/>
      </c>
      <c r="K221" s="11">
        <f>IFERROR(IF('入力シート'!$A221="","",IF(H221&gt;='設定'!$B$4,"OK",IF(H221&gt;='設定'!$B$5,"注意","要改善"))),"")</f>
        <v/>
      </c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</row>
    <row r="222" ht="26.75" customHeight="1">
      <c r="A222" s="11">
        <f>IFERROR(IF('入力シート'!$A222="","",'入力シート'!A222),"")</f>
        <v/>
      </c>
      <c r="B222" s="11">
        <f>IFERROR(IF('入力シート'!$A222="","",'入力シート'!B222),"")</f>
        <v/>
      </c>
      <c r="C222" s="11">
        <f>IFERROR(IF('入力シート'!$A222="","",'入力シート'!C222),"")</f>
        <v/>
      </c>
      <c r="D222" s="11">
        <f>IFERROR(IF('入力シート'!$A222="","",'入力シート'!D222),"")</f>
        <v/>
      </c>
      <c r="E222" s="3">
        <f>IFERROR(IF('入力シート'!$A222="","",'入力シート'!I222),"")</f>
        <v/>
      </c>
      <c r="F222" s="3">
        <f>IFERROR(IF('入力シート'!$A222="","",'入力シート'!N222),"")</f>
        <v/>
      </c>
      <c r="G222" s="3">
        <f>IFERROR(IF('入力シート'!$A222="","",'入力シート'!O222),"")</f>
        <v/>
      </c>
      <c r="H222" s="17">
        <f>IFERROR(IF('入力シート'!$A222="","",'入力シート'!P222),"")</f>
        <v/>
      </c>
      <c r="I222" s="11">
        <f>IFERROR(IF('入力シート'!$A222="","",'入力シート'!Q222),"")</f>
        <v/>
      </c>
      <c r="J222" s="11">
        <f>IFERROR(IF('入力シート'!$A222="","",'入力シート'!R222),"")</f>
        <v/>
      </c>
      <c r="K222" s="11">
        <f>IFERROR(IF('入力シート'!$A222="","",IF(H222&gt;='設定'!$B$4,"OK",IF(H222&gt;='設定'!$B$5,"注意","要改善"))),"")</f>
        <v/>
      </c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</row>
    <row r="223" ht="26.75" customHeight="1">
      <c r="A223" s="11">
        <f>IFERROR(IF('入力シート'!$A223="","",'入力シート'!A223),"")</f>
        <v/>
      </c>
      <c r="B223" s="11">
        <f>IFERROR(IF('入力シート'!$A223="","",'入力シート'!B223),"")</f>
        <v/>
      </c>
      <c r="C223" s="11">
        <f>IFERROR(IF('入力シート'!$A223="","",'入力シート'!C223),"")</f>
        <v/>
      </c>
      <c r="D223" s="11">
        <f>IFERROR(IF('入力シート'!$A223="","",'入力シート'!D223),"")</f>
        <v/>
      </c>
      <c r="E223" s="3">
        <f>IFERROR(IF('入力シート'!$A223="","",'入力シート'!I223),"")</f>
        <v/>
      </c>
      <c r="F223" s="3">
        <f>IFERROR(IF('入力シート'!$A223="","",'入力シート'!N223),"")</f>
        <v/>
      </c>
      <c r="G223" s="3">
        <f>IFERROR(IF('入力シート'!$A223="","",'入力シート'!O223),"")</f>
        <v/>
      </c>
      <c r="H223" s="17">
        <f>IFERROR(IF('入力シート'!$A223="","",'入力シート'!P223),"")</f>
        <v/>
      </c>
      <c r="I223" s="11">
        <f>IFERROR(IF('入力シート'!$A223="","",'入力シート'!Q223),"")</f>
        <v/>
      </c>
      <c r="J223" s="11">
        <f>IFERROR(IF('入力シート'!$A223="","",'入力シート'!R223),"")</f>
        <v/>
      </c>
      <c r="K223" s="11">
        <f>IFERROR(IF('入力シート'!$A223="","",IF(H223&gt;='設定'!$B$4,"OK",IF(H223&gt;='設定'!$B$5,"注意","要改善"))),"")</f>
        <v/>
      </c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</row>
    <row r="224" ht="26.75" customHeight="1">
      <c r="A224" s="11">
        <f>IFERROR(IF('入力シート'!$A224="","",'入力シート'!A224),"")</f>
        <v/>
      </c>
      <c r="B224" s="11">
        <f>IFERROR(IF('入力シート'!$A224="","",'入力シート'!B224),"")</f>
        <v/>
      </c>
      <c r="C224" s="11">
        <f>IFERROR(IF('入力シート'!$A224="","",'入力シート'!C224),"")</f>
        <v/>
      </c>
      <c r="D224" s="11">
        <f>IFERROR(IF('入力シート'!$A224="","",'入力シート'!D224),"")</f>
        <v/>
      </c>
      <c r="E224" s="3">
        <f>IFERROR(IF('入力シート'!$A224="","",'入力シート'!I224),"")</f>
        <v/>
      </c>
      <c r="F224" s="3">
        <f>IFERROR(IF('入力シート'!$A224="","",'入力シート'!N224),"")</f>
        <v/>
      </c>
      <c r="G224" s="3">
        <f>IFERROR(IF('入力シート'!$A224="","",'入力シート'!O224),"")</f>
        <v/>
      </c>
      <c r="H224" s="17">
        <f>IFERROR(IF('入力シート'!$A224="","",'入力シート'!P224),"")</f>
        <v/>
      </c>
      <c r="I224" s="11">
        <f>IFERROR(IF('入力シート'!$A224="","",'入力シート'!Q224),"")</f>
        <v/>
      </c>
      <c r="J224" s="11">
        <f>IFERROR(IF('入力シート'!$A224="","",'入力シート'!R224),"")</f>
        <v/>
      </c>
      <c r="K224" s="11">
        <f>IFERROR(IF('入力シート'!$A224="","",IF(H224&gt;='設定'!$B$4,"OK",IF(H224&gt;='設定'!$B$5,"注意","要改善"))),"")</f>
        <v/>
      </c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</row>
    <row r="225" ht="26.75" customHeight="1">
      <c r="A225" s="11">
        <f>IFERROR(IF('入力シート'!$A225="","",'入力シート'!A225),"")</f>
        <v/>
      </c>
      <c r="B225" s="11">
        <f>IFERROR(IF('入力シート'!$A225="","",'入力シート'!B225),"")</f>
        <v/>
      </c>
      <c r="C225" s="11">
        <f>IFERROR(IF('入力シート'!$A225="","",'入力シート'!C225),"")</f>
        <v/>
      </c>
      <c r="D225" s="11">
        <f>IFERROR(IF('入力シート'!$A225="","",'入力シート'!D225),"")</f>
        <v/>
      </c>
      <c r="E225" s="3">
        <f>IFERROR(IF('入力シート'!$A225="","",'入力シート'!I225),"")</f>
        <v/>
      </c>
      <c r="F225" s="3">
        <f>IFERROR(IF('入力シート'!$A225="","",'入力シート'!N225),"")</f>
        <v/>
      </c>
      <c r="G225" s="3">
        <f>IFERROR(IF('入力シート'!$A225="","",'入力シート'!O225),"")</f>
        <v/>
      </c>
      <c r="H225" s="17">
        <f>IFERROR(IF('入力シート'!$A225="","",'入力シート'!P225),"")</f>
        <v/>
      </c>
      <c r="I225" s="11">
        <f>IFERROR(IF('入力シート'!$A225="","",'入力シート'!Q225),"")</f>
        <v/>
      </c>
      <c r="J225" s="11">
        <f>IFERROR(IF('入力シート'!$A225="","",'入力シート'!R225),"")</f>
        <v/>
      </c>
      <c r="K225" s="11">
        <f>IFERROR(IF('入力シート'!$A225="","",IF(H225&gt;='設定'!$B$4,"OK",IF(H225&gt;='設定'!$B$5,"注意","要改善"))),"")</f>
        <v/>
      </c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</row>
    <row r="226" ht="26.75" customHeight="1">
      <c r="A226" s="11">
        <f>IFERROR(IF('入力シート'!$A226="","",'入力シート'!A226),"")</f>
        <v/>
      </c>
      <c r="B226" s="11">
        <f>IFERROR(IF('入力シート'!$A226="","",'入力シート'!B226),"")</f>
        <v/>
      </c>
      <c r="C226" s="11">
        <f>IFERROR(IF('入力シート'!$A226="","",'入力シート'!C226),"")</f>
        <v/>
      </c>
      <c r="D226" s="11">
        <f>IFERROR(IF('入力シート'!$A226="","",'入力シート'!D226),"")</f>
        <v/>
      </c>
      <c r="E226" s="3">
        <f>IFERROR(IF('入力シート'!$A226="","",'入力シート'!I226),"")</f>
        <v/>
      </c>
      <c r="F226" s="3">
        <f>IFERROR(IF('入力シート'!$A226="","",'入力シート'!N226),"")</f>
        <v/>
      </c>
      <c r="G226" s="3">
        <f>IFERROR(IF('入力シート'!$A226="","",'入力シート'!O226),"")</f>
        <v/>
      </c>
      <c r="H226" s="17">
        <f>IFERROR(IF('入力シート'!$A226="","",'入力シート'!P226),"")</f>
        <v/>
      </c>
      <c r="I226" s="11">
        <f>IFERROR(IF('入力シート'!$A226="","",'入力シート'!Q226),"")</f>
        <v/>
      </c>
      <c r="J226" s="11">
        <f>IFERROR(IF('入力シート'!$A226="","",'入力シート'!R226),"")</f>
        <v/>
      </c>
      <c r="K226" s="11">
        <f>IFERROR(IF('入力シート'!$A226="","",IF(H226&gt;='設定'!$B$4,"OK",IF(H226&gt;='設定'!$B$5,"注意","要改善"))),"")</f>
        <v/>
      </c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</row>
    <row r="227" ht="26.75" customHeight="1">
      <c r="A227" s="11">
        <f>IFERROR(IF('入力シート'!$A227="","",'入力シート'!A227),"")</f>
        <v/>
      </c>
      <c r="B227" s="11">
        <f>IFERROR(IF('入力シート'!$A227="","",'入力シート'!B227),"")</f>
        <v/>
      </c>
      <c r="C227" s="11">
        <f>IFERROR(IF('入力シート'!$A227="","",'入力シート'!C227),"")</f>
        <v/>
      </c>
      <c r="D227" s="11">
        <f>IFERROR(IF('入力シート'!$A227="","",'入力シート'!D227),"")</f>
        <v/>
      </c>
      <c r="E227" s="3">
        <f>IFERROR(IF('入力シート'!$A227="","",'入力シート'!I227),"")</f>
        <v/>
      </c>
      <c r="F227" s="3">
        <f>IFERROR(IF('入力シート'!$A227="","",'入力シート'!N227),"")</f>
        <v/>
      </c>
      <c r="G227" s="3">
        <f>IFERROR(IF('入力シート'!$A227="","",'入力シート'!O227),"")</f>
        <v/>
      </c>
      <c r="H227" s="17">
        <f>IFERROR(IF('入力シート'!$A227="","",'入力シート'!P227),"")</f>
        <v/>
      </c>
      <c r="I227" s="11">
        <f>IFERROR(IF('入力シート'!$A227="","",'入力シート'!Q227),"")</f>
        <v/>
      </c>
      <c r="J227" s="11">
        <f>IFERROR(IF('入力シート'!$A227="","",'入力シート'!R227),"")</f>
        <v/>
      </c>
      <c r="K227" s="11">
        <f>IFERROR(IF('入力シート'!$A227="","",IF(H227&gt;='設定'!$B$4,"OK",IF(H227&gt;='設定'!$B$5,"注意","要改善"))),"")</f>
        <v/>
      </c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</row>
    <row r="228" ht="26.75" customHeight="1">
      <c r="A228" s="11">
        <f>IFERROR(IF('入力シート'!$A228="","",'入力シート'!A228),"")</f>
        <v/>
      </c>
      <c r="B228" s="11">
        <f>IFERROR(IF('入力シート'!$A228="","",'入力シート'!B228),"")</f>
        <v/>
      </c>
      <c r="C228" s="11">
        <f>IFERROR(IF('入力シート'!$A228="","",'入力シート'!C228),"")</f>
        <v/>
      </c>
      <c r="D228" s="11">
        <f>IFERROR(IF('入力シート'!$A228="","",'入力シート'!D228),"")</f>
        <v/>
      </c>
      <c r="E228" s="3">
        <f>IFERROR(IF('入力シート'!$A228="","",'入力シート'!I228),"")</f>
        <v/>
      </c>
      <c r="F228" s="3">
        <f>IFERROR(IF('入力シート'!$A228="","",'入力シート'!N228),"")</f>
        <v/>
      </c>
      <c r="G228" s="3">
        <f>IFERROR(IF('入力シート'!$A228="","",'入力シート'!O228),"")</f>
        <v/>
      </c>
      <c r="H228" s="17">
        <f>IFERROR(IF('入力シート'!$A228="","",'入力シート'!P228),"")</f>
        <v/>
      </c>
      <c r="I228" s="11">
        <f>IFERROR(IF('入力シート'!$A228="","",'入力シート'!Q228),"")</f>
        <v/>
      </c>
      <c r="J228" s="11">
        <f>IFERROR(IF('入力シート'!$A228="","",'入力シート'!R228),"")</f>
        <v/>
      </c>
      <c r="K228" s="11">
        <f>IFERROR(IF('入力シート'!$A228="","",IF(H228&gt;='設定'!$B$4,"OK",IF(H228&gt;='設定'!$B$5,"注意","要改善"))),"")</f>
        <v/>
      </c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</row>
    <row r="229" ht="26.75" customHeight="1">
      <c r="A229" s="11">
        <f>IFERROR(IF('入力シート'!$A229="","",'入力シート'!A229),"")</f>
        <v/>
      </c>
      <c r="B229" s="11">
        <f>IFERROR(IF('入力シート'!$A229="","",'入力シート'!B229),"")</f>
        <v/>
      </c>
      <c r="C229" s="11">
        <f>IFERROR(IF('入力シート'!$A229="","",'入力シート'!C229),"")</f>
        <v/>
      </c>
      <c r="D229" s="11">
        <f>IFERROR(IF('入力シート'!$A229="","",'入力シート'!D229),"")</f>
        <v/>
      </c>
      <c r="E229" s="3">
        <f>IFERROR(IF('入力シート'!$A229="","",'入力シート'!I229),"")</f>
        <v/>
      </c>
      <c r="F229" s="3">
        <f>IFERROR(IF('入力シート'!$A229="","",'入力シート'!N229),"")</f>
        <v/>
      </c>
      <c r="G229" s="3">
        <f>IFERROR(IF('入力シート'!$A229="","",'入力シート'!O229),"")</f>
        <v/>
      </c>
      <c r="H229" s="17">
        <f>IFERROR(IF('入力シート'!$A229="","",'入力シート'!P229),"")</f>
        <v/>
      </c>
      <c r="I229" s="11">
        <f>IFERROR(IF('入力シート'!$A229="","",'入力シート'!Q229),"")</f>
        <v/>
      </c>
      <c r="J229" s="11">
        <f>IFERROR(IF('入力シート'!$A229="","",'入力シート'!R229),"")</f>
        <v/>
      </c>
      <c r="K229" s="11">
        <f>IFERROR(IF('入力シート'!$A229="","",IF(H229&gt;='設定'!$B$4,"OK",IF(H229&gt;='設定'!$B$5,"注意","要改善"))),"")</f>
        <v/>
      </c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</row>
    <row r="230" ht="26.75" customHeight="1">
      <c r="A230" s="11">
        <f>IFERROR(IF('入力シート'!$A230="","",'入力シート'!A230),"")</f>
        <v/>
      </c>
      <c r="B230" s="11">
        <f>IFERROR(IF('入力シート'!$A230="","",'入力シート'!B230),"")</f>
        <v/>
      </c>
      <c r="C230" s="11">
        <f>IFERROR(IF('入力シート'!$A230="","",'入力シート'!C230),"")</f>
        <v/>
      </c>
      <c r="D230" s="11">
        <f>IFERROR(IF('入力シート'!$A230="","",'入力シート'!D230),"")</f>
        <v/>
      </c>
      <c r="E230" s="3">
        <f>IFERROR(IF('入力シート'!$A230="","",'入力シート'!I230),"")</f>
        <v/>
      </c>
      <c r="F230" s="3">
        <f>IFERROR(IF('入力シート'!$A230="","",'入力シート'!N230),"")</f>
        <v/>
      </c>
      <c r="G230" s="3">
        <f>IFERROR(IF('入力シート'!$A230="","",'入力シート'!O230),"")</f>
        <v/>
      </c>
      <c r="H230" s="17">
        <f>IFERROR(IF('入力シート'!$A230="","",'入力シート'!P230),"")</f>
        <v/>
      </c>
      <c r="I230" s="11">
        <f>IFERROR(IF('入力シート'!$A230="","",'入力シート'!Q230),"")</f>
        <v/>
      </c>
      <c r="J230" s="11">
        <f>IFERROR(IF('入力シート'!$A230="","",'入力シート'!R230),"")</f>
        <v/>
      </c>
      <c r="K230" s="11">
        <f>IFERROR(IF('入力シート'!$A230="","",IF(H230&gt;='設定'!$B$4,"OK",IF(H230&gt;='設定'!$B$5,"注意","要改善"))),"")</f>
        <v/>
      </c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</row>
    <row r="231" ht="26.75" customHeight="1">
      <c r="A231" s="11">
        <f>IFERROR(IF('入力シート'!$A231="","",'入力シート'!A231),"")</f>
        <v/>
      </c>
      <c r="B231" s="11">
        <f>IFERROR(IF('入力シート'!$A231="","",'入力シート'!B231),"")</f>
        <v/>
      </c>
      <c r="C231" s="11">
        <f>IFERROR(IF('入力シート'!$A231="","",'入力シート'!C231),"")</f>
        <v/>
      </c>
      <c r="D231" s="11">
        <f>IFERROR(IF('入力シート'!$A231="","",'入力シート'!D231),"")</f>
        <v/>
      </c>
      <c r="E231" s="3">
        <f>IFERROR(IF('入力シート'!$A231="","",'入力シート'!I231),"")</f>
        <v/>
      </c>
      <c r="F231" s="3">
        <f>IFERROR(IF('入力シート'!$A231="","",'入力シート'!N231),"")</f>
        <v/>
      </c>
      <c r="G231" s="3">
        <f>IFERROR(IF('入力シート'!$A231="","",'入力シート'!O231),"")</f>
        <v/>
      </c>
      <c r="H231" s="17">
        <f>IFERROR(IF('入力シート'!$A231="","",'入力シート'!P231),"")</f>
        <v/>
      </c>
      <c r="I231" s="11">
        <f>IFERROR(IF('入力シート'!$A231="","",'入力シート'!Q231),"")</f>
        <v/>
      </c>
      <c r="J231" s="11">
        <f>IFERROR(IF('入力シート'!$A231="","",'入力シート'!R231),"")</f>
        <v/>
      </c>
      <c r="K231" s="11">
        <f>IFERROR(IF('入力シート'!$A231="","",IF(H231&gt;='設定'!$B$4,"OK",IF(H231&gt;='設定'!$B$5,"注意","要改善"))),"")</f>
        <v/>
      </c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</row>
    <row r="232" ht="26.75" customHeight="1">
      <c r="A232" s="11">
        <f>IFERROR(IF('入力シート'!$A232="","",'入力シート'!A232),"")</f>
        <v/>
      </c>
      <c r="B232" s="11">
        <f>IFERROR(IF('入力シート'!$A232="","",'入力シート'!B232),"")</f>
        <v/>
      </c>
      <c r="C232" s="11">
        <f>IFERROR(IF('入力シート'!$A232="","",'入力シート'!C232),"")</f>
        <v/>
      </c>
      <c r="D232" s="11">
        <f>IFERROR(IF('入力シート'!$A232="","",'入力シート'!D232),"")</f>
        <v/>
      </c>
      <c r="E232" s="3">
        <f>IFERROR(IF('入力シート'!$A232="","",'入力シート'!I232),"")</f>
        <v/>
      </c>
      <c r="F232" s="3">
        <f>IFERROR(IF('入力シート'!$A232="","",'入力シート'!N232),"")</f>
        <v/>
      </c>
      <c r="G232" s="3">
        <f>IFERROR(IF('入力シート'!$A232="","",'入力シート'!O232),"")</f>
        <v/>
      </c>
      <c r="H232" s="17">
        <f>IFERROR(IF('入力シート'!$A232="","",'入力シート'!P232),"")</f>
        <v/>
      </c>
      <c r="I232" s="11">
        <f>IFERROR(IF('入力シート'!$A232="","",'入力シート'!Q232),"")</f>
        <v/>
      </c>
      <c r="J232" s="11">
        <f>IFERROR(IF('入力シート'!$A232="","",'入力シート'!R232),"")</f>
        <v/>
      </c>
      <c r="K232" s="11">
        <f>IFERROR(IF('入力シート'!$A232="","",IF(H232&gt;='設定'!$B$4,"OK",IF(H232&gt;='設定'!$B$5,"注意","要改善"))),"")</f>
        <v/>
      </c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</row>
    <row r="233" ht="26.75" customHeight="1">
      <c r="A233" s="11">
        <f>IFERROR(IF('入力シート'!$A233="","",'入力シート'!A233),"")</f>
        <v/>
      </c>
      <c r="B233" s="11">
        <f>IFERROR(IF('入力シート'!$A233="","",'入力シート'!B233),"")</f>
        <v/>
      </c>
      <c r="C233" s="11">
        <f>IFERROR(IF('入力シート'!$A233="","",'入力シート'!C233),"")</f>
        <v/>
      </c>
      <c r="D233" s="11">
        <f>IFERROR(IF('入力シート'!$A233="","",'入力シート'!D233),"")</f>
        <v/>
      </c>
      <c r="E233" s="3">
        <f>IFERROR(IF('入力シート'!$A233="","",'入力シート'!I233),"")</f>
        <v/>
      </c>
      <c r="F233" s="3">
        <f>IFERROR(IF('入力シート'!$A233="","",'入力シート'!N233),"")</f>
        <v/>
      </c>
      <c r="G233" s="3">
        <f>IFERROR(IF('入力シート'!$A233="","",'入力シート'!O233),"")</f>
        <v/>
      </c>
      <c r="H233" s="17">
        <f>IFERROR(IF('入力シート'!$A233="","",'入力シート'!P233),"")</f>
        <v/>
      </c>
      <c r="I233" s="11">
        <f>IFERROR(IF('入力シート'!$A233="","",'入力シート'!Q233),"")</f>
        <v/>
      </c>
      <c r="J233" s="11">
        <f>IFERROR(IF('入力シート'!$A233="","",'入力シート'!R233),"")</f>
        <v/>
      </c>
      <c r="K233" s="11">
        <f>IFERROR(IF('入力シート'!$A233="","",IF(H233&gt;='設定'!$B$4,"OK",IF(H233&gt;='設定'!$B$5,"注意","要改善"))),"")</f>
        <v/>
      </c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</row>
    <row r="234" ht="26.75" customHeight="1">
      <c r="A234" s="11">
        <f>IFERROR(IF('入力シート'!$A234="","",'入力シート'!A234),"")</f>
        <v/>
      </c>
      <c r="B234" s="11">
        <f>IFERROR(IF('入力シート'!$A234="","",'入力シート'!B234),"")</f>
        <v/>
      </c>
      <c r="C234" s="11">
        <f>IFERROR(IF('入力シート'!$A234="","",'入力シート'!C234),"")</f>
        <v/>
      </c>
      <c r="D234" s="11">
        <f>IFERROR(IF('入力シート'!$A234="","",'入力シート'!D234),"")</f>
        <v/>
      </c>
      <c r="E234" s="3">
        <f>IFERROR(IF('入力シート'!$A234="","",'入力シート'!I234),"")</f>
        <v/>
      </c>
      <c r="F234" s="3">
        <f>IFERROR(IF('入力シート'!$A234="","",'入力シート'!N234),"")</f>
        <v/>
      </c>
      <c r="G234" s="3">
        <f>IFERROR(IF('入力シート'!$A234="","",'入力シート'!O234),"")</f>
        <v/>
      </c>
      <c r="H234" s="17">
        <f>IFERROR(IF('入力シート'!$A234="","",'入力シート'!P234),"")</f>
        <v/>
      </c>
      <c r="I234" s="11">
        <f>IFERROR(IF('入力シート'!$A234="","",'入力シート'!Q234),"")</f>
        <v/>
      </c>
      <c r="J234" s="11">
        <f>IFERROR(IF('入力シート'!$A234="","",'入力シート'!R234),"")</f>
        <v/>
      </c>
      <c r="K234" s="11">
        <f>IFERROR(IF('入力シート'!$A234="","",IF(H234&gt;='設定'!$B$4,"OK",IF(H234&gt;='設定'!$B$5,"注意","要改善"))),"")</f>
        <v/>
      </c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</row>
    <row r="235" ht="26.75" customHeight="1">
      <c r="A235" s="11">
        <f>IFERROR(IF('入力シート'!$A235="","",'入力シート'!A235),"")</f>
        <v/>
      </c>
      <c r="B235" s="11">
        <f>IFERROR(IF('入力シート'!$A235="","",'入力シート'!B235),"")</f>
        <v/>
      </c>
      <c r="C235" s="11">
        <f>IFERROR(IF('入力シート'!$A235="","",'入力シート'!C235),"")</f>
        <v/>
      </c>
      <c r="D235" s="11">
        <f>IFERROR(IF('入力シート'!$A235="","",'入力シート'!D235),"")</f>
        <v/>
      </c>
      <c r="E235" s="3">
        <f>IFERROR(IF('入力シート'!$A235="","",'入力シート'!I235),"")</f>
        <v/>
      </c>
      <c r="F235" s="3">
        <f>IFERROR(IF('入力シート'!$A235="","",'入力シート'!N235),"")</f>
        <v/>
      </c>
      <c r="G235" s="3">
        <f>IFERROR(IF('入力シート'!$A235="","",'入力シート'!O235),"")</f>
        <v/>
      </c>
      <c r="H235" s="17">
        <f>IFERROR(IF('入力シート'!$A235="","",'入力シート'!P235),"")</f>
        <v/>
      </c>
      <c r="I235" s="11">
        <f>IFERROR(IF('入力シート'!$A235="","",'入力シート'!Q235),"")</f>
        <v/>
      </c>
      <c r="J235" s="11">
        <f>IFERROR(IF('入力シート'!$A235="","",'入力シート'!R235),"")</f>
        <v/>
      </c>
      <c r="K235" s="11">
        <f>IFERROR(IF('入力シート'!$A235="","",IF(H235&gt;='設定'!$B$4,"OK",IF(H235&gt;='設定'!$B$5,"注意","要改善"))),"")</f>
        <v/>
      </c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</row>
    <row r="236" ht="26.75" customHeight="1">
      <c r="A236" s="11">
        <f>IFERROR(IF('入力シート'!$A236="","",'入力シート'!A236),"")</f>
        <v/>
      </c>
      <c r="B236" s="11">
        <f>IFERROR(IF('入力シート'!$A236="","",'入力シート'!B236),"")</f>
        <v/>
      </c>
      <c r="C236" s="11">
        <f>IFERROR(IF('入力シート'!$A236="","",'入力シート'!C236),"")</f>
        <v/>
      </c>
      <c r="D236" s="11">
        <f>IFERROR(IF('入力シート'!$A236="","",'入力シート'!D236),"")</f>
        <v/>
      </c>
      <c r="E236" s="3">
        <f>IFERROR(IF('入力シート'!$A236="","",'入力シート'!I236),"")</f>
        <v/>
      </c>
      <c r="F236" s="3">
        <f>IFERROR(IF('入力シート'!$A236="","",'入力シート'!N236),"")</f>
        <v/>
      </c>
      <c r="G236" s="3">
        <f>IFERROR(IF('入力シート'!$A236="","",'入力シート'!O236),"")</f>
        <v/>
      </c>
      <c r="H236" s="17">
        <f>IFERROR(IF('入力シート'!$A236="","",'入力シート'!P236),"")</f>
        <v/>
      </c>
      <c r="I236" s="11">
        <f>IFERROR(IF('入力シート'!$A236="","",'入力シート'!Q236),"")</f>
        <v/>
      </c>
      <c r="J236" s="11">
        <f>IFERROR(IF('入力シート'!$A236="","",'入力シート'!R236),"")</f>
        <v/>
      </c>
      <c r="K236" s="11">
        <f>IFERROR(IF('入力シート'!$A236="","",IF(H236&gt;='設定'!$B$4,"OK",IF(H236&gt;='設定'!$B$5,"注意","要改善"))),"")</f>
        <v/>
      </c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</row>
    <row r="237" ht="26.75" customHeight="1">
      <c r="A237" s="11">
        <f>IFERROR(IF('入力シート'!$A237="","",'入力シート'!A237),"")</f>
        <v/>
      </c>
      <c r="B237" s="11">
        <f>IFERROR(IF('入力シート'!$A237="","",'入力シート'!B237),"")</f>
        <v/>
      </c>
      <c r="C237" s="11">
        <f>IFERROR(IF('入力シート'!$A237="","",'入力シート'!C237),"")</f>
        <v/>
      </c>
      <c r="D237" s="11">
        <f>IFERROR(IF('入力シート'!$A237="","",'入力シート'!D237),"")</f>
        <v/>
      </c>
      <c r="E237" s="3">
        <f>IFERROR(IF('入力シート'!$A237="","",'入力シート'!I237),"")</f>
        <v/>
      </c>
      <c r="F237" s="3">
        <f>IFERROR(IF('入力シート'!$A237="","",'入力シート'!N237),"")</f>
        <v/>
      </c>
      <c r="G237" s="3">
        <f>IFERROR(IF('入力シート'!$A237="","",'入力シート'!O237),"")</f>
        <v/>
      </c>
      <c r="H237" s="17">
        <f>IFERROR(IF('入力シート'!$A237="","",'入力シート'!P237),"")</f>
        <v/>
      </c>
      <c r="I237" s="11">
        <f>IFERROR(IF('入力シート'!$A237="","",'入力シート'!Q237),"")</f>
        <v/>
      </c>
      <c r="J237" s="11">
        <f>IFERROR(IF('入力シート'!$A237="","",'入力シート'!R237),"")</f>
        <v/>
      </c>
      <c r="K237" s="11">
        <f>IFERROR(IF('入力シート'!$A237="","",IF(H237&gt;='設定'!$B$4,"OK",IF(H237&gt;='設定'!$B$5,"注意","要改善"))),"")</f>
        <v/>
      </c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</row>
    <row r="238" ht="26.75" customHeight="1">
      <c r="A238" s="11">
        <f>IFERROR(IF('入力シート'!$A238="","",'入力シート'!A238),"")</f>
        <v/>
      </c>
      <c r="B238" s="11">
        <f>IFERROR(IF('入力シート'!$A238="","",'入力シート'!B238),"")</f>
        <v/>
      </c>
      <c r="C238" s="11">
        <f>IFERROR(IF('入力シート'!$A238="","",'入力シート'!C238),"")</f>
        <v/>
      </c>
      <c r="D238" s="11">
        <f>IFERROR(IF('入力シート'!$A238="","",'入力シート'!D238),"")</f>
        <v/>
      </c>
      <c r="E238" s="3">
        <f>IFERROR(IF('入力シート'!$A238="","",'入力シート'!I238),"")</f>
        <v/>
      </c>
      <c r="F238" s="3">
        <f>IFERROR(IF('入力シート'!$A238="","",'入力シート'!N238),"")</f>
        <v/>
      </c>
      <c r="G238" s="3">
        <f>IFERROR(IF('入力シート'!$A238="","",'入力シート'!O238),"")</f>
        <v/>
      </c>
      <c r="H238" s="17">
        <f>IFERROR(IF('入力シート'!$A238="","",'入力シート'!P238),"")</f>
        <v/>
      </c>
      <c r="I238" s="11">
        <f>IFERROR(IF('入力シート'!$A238="","",'入力シート'!Q238),"")</f>
        <v/>
      </c>
      <c r="J238" s="11">
        <f>IFERROR(IF('入力シート'!$A238="","",'入力シート'!R238),"")</f>
        <v/>
      </c>
      <c r="K238" s="11">
        <f>IFERROR(IF('入力シート'!$A238="","",IF(H238&gt;='設定'!$B$4,"OK",IF(H238&gt;='設定'!$B$5,"注意","要改善"))),"")</f>
        <v/>
      </c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</row>
    <row r="239" ht="26.75" customHeight="1">
      <c r="A239" s="11">
        <f>IFERROR(IF('入力シート'!$A239="","",'入力シート'!A239),"")</f>
        <v/>
      </c>
      <c r="B239" s="11">
        <f>IFERROR(IF('入力シート'!$A239="","",'入力シート'!B239),"")</f>
        <v/>
      </c>
      <c r="C239" s="11">
        <f>IFERROR(IF('入力シート'!$A239="","",'入力シート'!C239),"")</f>
        <v/>
      </c>
      <c r="D239" s="11">
        <f>IFERROR(IF('入力シート'!$A239="","",'入力シート'!D239),"")</f>
        <v/>
      </c>
      <c r="E239" s="3">
        <f>IFERROR(IF('入力シート'!$A239="","",'入力シート'!I239),"")</f>
        <v/>
      </c>
      <c r="F239" s="3">
        <f>IFERROR(IF('入力シート'!$A239="","",'入力シート'!N239),"")</f>
        <v/>
      </c>
      <c r="G239" s="3">
        <f>IFERROR(IF('入力シート'!$A239="","",'入力シート'!O239),"")</f>
        <v/>
      </c>
      <c r="H239" s="17">
        <f>IFERROR(IF('入力シート'!$A239="","",'入力シート'!P239),"")</f>
        <v/>
      </c>
      <c r="I239" s="11">
        <f>IFERROR(IF('入力シート'!$A239="","",'入力シート'!Q239),"")</f>
        <v/>
      </c>
      <c r="J239" s="11">
        <f>IFERROR(IF('入力シート'!$A239="","",'入力シート'!R239),"")</f>
        <v/>
      </c>
      <c r="K239" s="11">
        <f>IFERROR(IF('入力シート'!$A239="","",IF(H239&gt;='設定'!$B$4,"OK",IF(H239&gt;='設定'!$B$5,"注意","要改善"))),"")</f>
        <v/>
      </c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</row>
    <row r="240" ht="26.75" customHeight="1">
      <c r="A240" s="11">
        <f>IFERROR(IF('入力シート'!$A240="","",'入力シート'!A240),"")</f>
        <v/>
      </c>
      <c r="B240" s="11">
        <f>IFERROR(IF('入力シート'!$A240="","",'入力シート'!B240),"")</f>
        <v/>
      </c>
      <c r="C240" s="11">
        <f>IFERROR(IF('入力シート'!$A240="","",'入力シート'!C240),"")</f>
        <v/>
      </c>
      <c r="D240" s="11">
        <f>IFERROR(IF('入力シート'!$A240="","",'入力シート'!D240),"")</f>
        <v/>
      </c>
      <c r="E240" s="3">
        <f>IFERROR(IF('入力シート'!$A240="","",'入力シート'!I240),"")</f>
        <v/>
      </c>
      <c r="F240" s="3">
        <f>IFERROR(IF('入力シート'!$A240="","",'入力シート'!N240),"")</f>
        <v/>
      </c>
      <c r="G240" s="3">
        <f>IFERROR(IF('入力シート'!$A240="","",'入力シート'!O240),"")</f>
        <v/>
      </c>
      <c r="H240" s="17">
        <f>IFERROR(IF('入力シート'!$A240="","",'入力シート'!P240),"")</f>
        <v/>
      </c>
      <c r="I240" s="11">
        <f>IFERROR(IF('入力シート'!$A240="","",'入力シート'!Q240),"")</f>
        <v/>
      </c>
      <c r="J240" s="11">
        <f>IFERROR(IF('入力シート'!$A240="","",'入力シート'!R240),"")</f>
        <v/>
      </c>
      <c r="K240" s="11">
        <f>IFERROR(IF('入力シート'!$A240="","",IF(H240&gt;='設定'!$B$4,"OK",IF(H240&gt;='設定'!$B$5,"注意","要改善"))),"")</f>
        <v/>
      </c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</row>
    <row r="241" ht="26.75" customHeight="1">
      <c r="A241" s="11">
        <f>IFERROR(IF('入力シート'!$A241="","",'入力シート'!A241),"")</f>
        <v/>
      </c>
      <c r="B241" s="11">
        <f>IFERROR(IF('入力シート'!$A241="","",'入力シート'!B241),"")</f>
        <v/>
      </c>
      <c r="C241" s="11">
        <f>IFERROR(IF('入力シート'!$A241="","",'入力シート'!C241),"")</f>
        <v/>
      </c>
      <c r="D241" s="11">
        <f>IFERROR(IF('入力シート'!$A241="","",'入力シート'!D241),"")</f>
        <v/>
      </c>
      <c r="E241" s="3">
        <f>IFERROR(IF('入力シート'!$A241="","",'入力シート'!I241),"")</f>
        <v/>
      </c>
      <c r="F241" s="3">
        <f>IFERROR(IF('入力シート'!$A241="","",'入力シート'!N241),"")</f>
        <v/>
      </c>
      <c r="G241" s="3">
        <f>IFERROR(IF('入力シート'!$A241="","",'入力シート'!O241),"")</f>
        <v/>
      </c>
      <c r="H241" s="17">
        <f>IFERROR(IF('入力シート'!$A241="","",'入力シート'!P241),"")</f>
        <v/>
      </c>
      <c r="I241" s="11">
        <f>IFERROR(IF('入力シート'!$A241="","",'入力シート'!Q241),"")</f>
        <v/>
      </c>
      <c r="J241" s="11">
        <f>IFERROR(IF('入力シート'!$A241="","",'入力シート'!R241),"")</f>
        <v/>
      </c>
      <c r="K241" s="11">
        <f>IFERROR(IF('入力シート'!$A241="","",IF(H241&gt;='設定'!$B$4,"OK",IF(H241&gt;='設定'!$B$5,"注意","要改善"))),"")</f>
        <v/>
      </c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</row>
    <row r="242" ht="26.75" customHeight="1">
      <c r="A242" s="11">
        <f>IFERROR(IF('入力シート'!$A242="","",'入力シート'!A242),"")</f>
        <v/>
      </c>
      <c r="B242" s="11">
        <f>IFERROR(IF('入力シート'!$A242="","",'入力シート'!B242),"")</f>
        <v/>
      </c>
      <c r="C242" s="11">
        <f>IFERROR(IF('入力シート'!$A242="","",'入力シート'!C242),"")</f>
        <v/>
      </c>
      <c r="D242" s="11">
        <f>IFERROR(IF('入力シート'!$A242="","",'入力シート'!D242),"")</f>
        <v/>
      </c>
      <c r="E242" s="3">
        <f>IFERROR(IF('入力シート'!$A242="","",'入力シート'!I242),"")</f>
        <v/>
      </c>
      <c r="F242" s="3">
        <f>IFERROR(IF('入力シート'!$A242="","",'入力シート'!N242),"")</f>
        <v/>
      </c>
      <c r="G242" s="3">
        <f>IFERROR(IF('入力シート'!$A242="","",'入力シート'!O242),"")</f>
        <v/>
      </c>
      <c r="H242" s="17">
        <f>IFERROR(IF('入力シート'!$A242="","",'入力シート'!P242),"")</f>
        <v/>
      </c>
      <c r="I242" s="11">
        <f>IFERROR(IF('入力シート'!$A242="","",'入力シート'!Q242),"")</f>
        <v/>
      </c>
      <c r="J242" s="11">
        <f>IFERROR(IF('入力シート'!$A242="","",'入力シート'!R242),"")</f>
        <v/>
      </c>
      <c r="K242" s="11">
        <f>IFERROR(IF('入力シート'!$A242="","",IF(H242&gt;='設定'!$B$4,"OK",IF(H242&gt;='設定'!$B$5,"注意","要改善"))),"")</f>
        <v/>
      </c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</row>
    <row r="243" ht="26.75" customHeight="1">
      <c r="A243" s="11">
        <f>IFERROR(IF('入力シート'!$A243="","",'入力シート'!A243),"")</f>
        <v/>
      </c>
      <c r="B243" s="11">
        <f>IFERROR(IF('入力シート'!$A243="","",'入力シート'!B243),"")</f>
        <v/>
      </c>
      <c r="C243" s="11">
        <f>IFERROR(IF('入力シート'!$A243="","",'入力シート'!C243),"")</f>
        <v/>
      </c>
      <c r="D243" s="11">
        <f>IFERROR(IF('入力シート'!$A243="","",'入力シート'!D243),"")</f>
        <v/>
      </c>
      <c r="E243" s="3">
        <f>IFERROR(IF('入力シート'!$A243="","",'入力シート'!I243),"")</f>
        <v/>
      </c>
      <c r="F243" s="3">
        <f>IFERROR(IF('入力シート'!$A243="","",'入力シート'!N243),"")</f>
        <v/>
      </c>
      <c r="G243" s="3">
        <f>IFERROR(IF('入力シート'!$A243="","",'入力シート'!O243),"")</f>
        <v/>
      </c>
      <c r="H243" s="17">
        <f>IFERROR(IF('入力シート'!$A243="","",'入力シート'!P243),"")</f>
        <v/>
      </c>
      <c r="I243" s="11">
        <f>IFERROR(IF('入力シート'!$A243="","",'入力シート'!Q243),"")</f>
        <v/>
      </c>
      <c r="J243" s="11">
        <f>IFERROR(IF('入力シート'!$A243="","",'入力シート'!R243),"")</f>
        <v/>
      </c>
      <c r="K243" s="11">
        <f>IFERROR(IF('入力シート'!$A243="","",IF(H243&gt;='設定'!$B$4,"OK",IF(H243&gt;='設定'!$B$5,"注意","要改善"))),"")</f>
        <v/>
      </c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</row>
    <row r="244" ht="26.75" customHeight="1">
      <c r="A244" s="11">
        <f>IFERROR(IF('入力シート'!$A244="","",'入力シート'!A244),"")</f>
        <v/>
      </c>
      <c r="B244" s="11">
        <f>IFERROR(IF('入力シート'!$A244="","",'入力シート'!B244),"")</f>
        <v/>
      </c>
      <c r="C244" s="11">
        <f>IFERROR(IF('入力シート'!$A244="","",'入力シート'!C244),"")</f>
        <v/>
      </c>
      <c r="D244" s="11">
        <f>IFERROR(IF('入力シート'!$A244="","",'入力シート'!D244),"")</f>
        <v/>
      </c>
      <c r="E244" s="3">
        <f>IFERROR(IF('入力シート'!$A244="","",'入力シート'!I244),"")</f>
        <v/>
      </c>
      <c r="F244" s="3">
        <f>IFERROR(IF('入力シート'!$A244="","",'入力シート'!N244),"")</f>
        <v/>
      </c>
      <c r="G244" s="3">
        <f>IFERROR(IF('入力シート'!$A244="","",'入力シート'!O244),"")</f>
        <v/>
      </c>
      <c r="H244" s="17">
        <f>IFERROR(IF('入力シート'!$A244="","",'入力シート'!P244),"")</f>
        <v/>
      </c>
      <c r="I244" s="11">
        <f>IFERROR(IF('入力シート'!$A244="","",'入力シート'!Q244),"")</f>
        <v/>
      </c>
      <c r="J244" s="11">
        <f>IFERROR(IF('入力シート'!$A244="","",'入力シート'!R244),"")</f>
        <v/>
      </c>
      <c r="K244" s="11">
        <f>IFERROR(IF('入力シート'!$A244="","",IF(H244&gt;='設定'!$B$4,"OK",IF(H244&gt;='設定'!$B$5,"注意","要改善"))),"")</f>
        <v/>
      </c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</row>
    <row r="245" ht="26.75" customHeight="1">
      <c r="A245" s="11">
        <f>IFERROR(IF('入力シート'!$A245="","",'入力シート'!A245),"")</f>
        <v/>
      </c>
      <c r="B245" s="11">
        <f>IFERROR(IF('入力シート'!$A245="","",'入力シート'!B245),"")</f>
        <v/>
      </c>
      <c r="C245" s="11">
        <f>IFERROR(IF('入力シート'!$A245="","",'入力シート'!C245),"")</f>
        <v/>
      </c>
      <c r="D245" s="11">
        <f>IFERROR(IF('入力シート'!$A245="","",'入力シート'!D245),"")</f>
        <v/>
      </c>
      <c r="E245" s="3">
        <f>IFERROR(IF('入力シート'!$A245="","",'入力シート'!I245),"")</f>
        <v/>
      </c>
      <c r="F245" s="3">
        <f>IFERROR(IF('入力シート'!$A245="","",'入力シート'!N245),"")</f>
        <v/>
      </c>
      <c r="G245" s="3">
        <f>IFERROR(IF('入力シート'!$A245="","",'入力シート'!O245),"")</f>
        <v/>
      </c>
      <c r="H245" s="17">
        <f>IFERROR(IF('入力シート'!$A245="","",'入力シート'!P245),"")</f>
        <v/>
      </c>
      <c r="I245" s="11">
        <f>IFERROR(IF('入力シート'!$A245="","",'入力シート'!Q245),"")</f>
        <v/>
      </c>
      <c r="J245" s="11">
        <f>IFERROR(IF('入力シート'!$A245="","",'入力シート'!R245),"")</f>
        <v/>
      </c>
      <c r="K245" s="11">
        <f>IFERROR(IF('入力シート'!$A245="","",IF(H245&gt;='設定'!$B$4,"OK",IF(H245&gt;='設定'!$B$5,"注意","要改善"))),"")</f>
        <v/>
      </c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</row>
    <row r="246" ht="26.75" customHeight="1">
      <c r="A246" s="11">
        <f>IFERROR(IF('入力シート'!$A246="","",'入力シート'!A246),"")</f>
        <v/>
      </c>
      <c r="B246" s="11">
        <f>IFERROR(IF('入力シート'!$A246="","",'入力シート'!B246),"")</f>
        <v/>
      </c>
      <c r="C246" s="11">
        <f>IFERROR(IF('入力シート'!$A246="","",'入力シート'!C246),"")</f>
        <v/>
      </c>
      <c r="D246" s="11">
        <f>IFERROR(IF('入力シート'!$A246="","",'入力シート'!D246),"")</f>
        <v/>
      </c>
      <c r="E246" s="3">
        <f>IFERROR(IF('入力シート'!$A246="","",'入力シート'!I246),"")</f>
        <v/>
      </c>
      <c r="F246" s="3">
        <f>IFERROR(IF('入力シート'!$A246="","",'入力シート'!N246),"")</f>
        <v/>
      </c>
      <c r="G246" s="3">
        <f>IFERROR(IF('入力シート'!$A246="","",'入力シート'!O246),"")</f>
        <v/>
      </c>
      <c r="H246" s="17">
        <f>IFERROR(IF('入力シート'!$A246="","",'入力シート'!P246),"")</f>
        <v/>
      </c>
      <c r="I246" s="11">
        <f>IFERROR(IF('入力シート'!$A246="","",'入力シート'!Q246),"")</f>
        <v/>
      </c>
      <c r="J246" s="11">
        <f>IFERROR(IF('入力シート'!$A246="","",'入力シート'!R246),"")</f>
        <v/>
      </c>
      <c r="K246" s="11">
        <f>IFERROR(IF('入力シート'!$A246="","",IF(H246&gt;='設定'!$B$4,"OK",IF(H246&gt;='設定'!$B$5,"注意","要改善"))),"")</f>
        <v/>
      </c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</row>
    <row r="247" ht="26.75" customHeight="1">
      <c r="A247" s="11">
        <f>IFERROR(IF('入力シート'!$A247="","",'入力シート'!A247),"")</f>
        <v/>
      </c>
      <c r="B247" s="11">
        <f>IFERROR(IF('入力シート'!$A247="","",'入力シート'!B247),"")</f>
        <v/>
      </c>
      <c r="C247" s="11">
        <f>IFERROR(IF('入力シート'!$A247="","",'入力シート'!C247),"")</f>
        <v/>
      </c>
      <c r="D247" s="11">
        <f>IFERROR(IF('入力シート'!$A247="","",'入力シート'!D247),"")</f>
        <v/>
      </c>
      <c r="E247" s="3">
        <f>IFERROR(IF('入力シート'!$A247="","",'入力シート'!I247),"")</f>
        <v/>
      </c>
      <c r="F247" s="3">
        <f>IFERROR(IF('入力シート'!$A247="","",'入力シート'!N247),"")</f>
        <v/>
      </c>
      <c r="G247" s="3">
        <f>IFERROR(IF('入力シート'!$A247="","",'入力シート'!O247),"")</f>
        <v/>
      </c>
      <c r="H247" s="17">
        <f>IFERROR(IF('入力シート'!$A247="","",'入力シート'!P247),"")</f>
        <v/>
      </c>
      <c r="I247" s="11">
        <f>IFERROR(IF('入力シート'!$A247="","",'入力シート'!Q247),"")</f>
        <v/>
      </c>
      <c r="J247" s="11">
        <f>IFERROR(IF('入力シート'!$A247="","",'入力シート'!R247),"")</f>
        <v/>
      </c>
      <c r="K247" s="11">
        <f>IFERROR(IF('入力シート'!$A247="","",IF(H247&gt;='設定'!$B$4,"OK",IF(H247&gt;='設定'!$B$5,"注意","要改善"))),"")</f>
        <v/>
      </c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</row>
    <row r="248" ht="26.75" customHeight="1">
      <c r="A248" s="11">
        <f>IFERROR(IF('入力シート'!$A248="","",'入力シート'!A248),"")</f>
        <v/>
      </c>
      <c r="B248" s="11">
        <f>IFERROR(IF('入力シート'!$A248="","",'入力シート'!B248),"")</f>
        <v/>
      </c>
      <c r="C248" s="11">
        <f>IFERROR(IF('入力シート'!$A248="","",'入力シート'!C248),"")</f>
        <v/>
      </c>
      <c r="D248" s="11">
        <f>IFERROR(IF('入力シート'!$A248="","",'入力シート'!D248),"")</f>
        <v/>
      </c>
      <c r="E248" s="3">
        <f>IFERROR(IF('入力シート'!$A248="","",'入力シート'!I248),"")</f>
        <v/>
      </c>
      <c r="F248" s="3">
        <f>IFERROR(IF('入力シート'!$A248="","",'入力シート'!N248),"")</f>
        <v/>
      </c>
      <c r="G248" s="3">
        <f>IFERROR(IF('入力シート'!$A248="","",'入力シート'!O248),"")</f>
        <v/>
      </c>
      <c r="H248" s="17">
        <f>IFERROR(IF('入力シート'!$A248="","",'入力シート'!P248),"")</f>
        <v/>
      </c>
      <c r="I248" s="11">
        <f>IFERROR(IF('入力シート'!$A248="","",'入力シート'!Q248),"")</f>
        <v/>
      </c>
      <c r="J248" s="11">
        <f>IFERROR(IF('入力シート'!$A248="","",'入力シート'!R248),"")</f>
        <v/>
      </c>
      <c r="K248" s="11">
        <f>IFERROR(IF('入力シート'!$A248="","",IF(H248&gt;='設定'!$B$4,"OK",IF(H248&gt;='設定'!$B$5,"注意","要改善"))),"")</f>
        <v/>
      </c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</row>
    <row r="249" ht="26.75" customHeight="1">
      <c r="A249" s="11">
        <f>IFERROR(IF('入力シート'!$A249="","",'入力シート'!A249),"")</f>
        <v/>
      </c>
      <c r="B249" s="11">
        <f>IFERROR(IF('入力シート'!$A249="","",'入力シート'!B249),"")</f>
        <v/>
      </c>
      <c r="C249" s="11">
        <f>IFERROR(IF('入力シート'!$A249="","",'入力シート'!C249),"")</f>
        <v/>
      </c>
      <c r="D249" s="11">
        <f>IFERROR(IF('入力シート'!$A249="","",'入力シート'!D249),"")</f>
        <v/>
      </c>
      <c r="E249" s="3">
        <f>IFERROR(IF('入力シート'!$A249="","",'入力シート'!I249),"")</f>
        <v/>
      </c>
      <c r="F249" s="3">
        <f>IFERROR(IF('入力シート'!$A249="","",'入力シート'!N249),"")</f>
        <v/>
      </c>
      <c r="G249" s="3">
        <f>IFERROR(IF('入力シート'!$A249="","",'入力シート'!O249),"")</f>
        <v/>
      </c>
      <c r="H249" s="17">
        <f>IFERROR(IF('入力シート'!$A249="","",'入力シート'!P249),"")</f>
        <v/>
      </c>
      <c r="I249" s="11">
        <f>IFERROR(IF('入力シート'!$A249="","",'入力シート'!Q249),"")</f>
        <v/>
      </c>
      <c r="J249" s="11">
        <f>IFERROR(IF('入力シート'!$A249="","",'入力シート'!R249),"")</f>
        <v/>
      </c>
      <c r="K249" s="11">
        <f>IFERROR(IF('入力シート'!$A249="","",IF(H249&gt;='設定'!$B$4,"OK",IF(H249&gt;='設定'!$B$5,"注意","要改善"))),"")</f>
        <v/>
      </c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</row>
    <row r="250" ht="26.75" customHeight="1">
      <c r="A250" s="11">
        <f>IFERROR(IF('入力シート'!$A250="","",'入力シート'!A250),"")</f>
        <v/>
      </c>
      <c r="B250" s="11">
        <f>IFERROR(IF('入力シート'!$A250="","",'入力シート'!B250),"")</f>
        <v/>
      </c>
      <c r="C250" s="11">
        <f>IFERROR(IF('入力シート'!$A250="","",'入力シート'!C250),"")</f>
        <v/>
      </c>
      <c r="D250" s="11">
        <f>IFERROR(IF('入力シート'!$A250="","",'入力シート'!D250),"")</f>
        <v/>
      </c>
      <c r="E250" s="3">
        <f>IFERROR(IF('入力シート'!$A250="","",'入力シート'!I250),"")</f>
        <v/>
      </c>
      <c r="F250" s="3">
        <f>IFERROR(IF('入力シート'!$A250="","",'入力シート'!N250),"")</f>
        <v/>
      </c>
      <c r="G250" s="3">
        <f>IFERROR(IF('入力シート'!$A250="","",'入力シート'!O250),"")</f>
        <v/>
      </c>
      <c r="H250" s="17">
        <f>IFERROR(IF('入力シート'!$A250="","",'入力シート'!P250),"")</f>
        <v/>
      </c>
      <c r="I250" s="11">
        <f>IFERROR(IF('入力シート'!$A250="","",'入力シート'!Q250),"")</f>
        <v/>
      </c>
      <c r="J250" s="11">
        <f>IFERROR(IF('入力シート'!$A250="","",'入力シート'!R250),"")</f>
        <v/>
      </c>
      <c r="K250" s="11">
        <f>IFERROR(IF('入力シート'!$A250="","",IF(H250&gt;='設定'!$B$4,"OK",IF(H250&gt;='設定'!$B$5,"注意","要改善"))),"")</f>
        <v/>
      </c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</row>
    <row r="251" ht="26.75" customHeight="1">
      <c r="A251" s="11">
        <f>IFERROR(IF('入力シート'!$A251="","",'入力シート'!A251),"")</f>
        <v/>
      </c>
      <c r="B251" s="11">
        <f>IFERROR(IF('入力シート'!$A251="","",'入力シート'!B251),"")</f>
        <v/>
      </c>
      <c r="C251" s="11">
        <f>IFERROR(IF('入力シート'!$A251="","",'入力シート'!C251),"")</f>
        <v/>
      </c>
      <c r="D251" s="11">
        <f>IFERROR(IF('入力シート'!$A251="","",'入力シート'!D251),"")</f>
        <v/>
      </c>
      <c r="E251" s="3">
        <f>IFERROR(IF('入力シート'!$A251="","",'入力シート'!I251),"")</f>
        <v/>
      </c>
      <c r="F251" s="3">
        <f>IFERROR(IF('入力シート'!$A251="","",'入力シート'!N251),"")</f>
        <v/>
      </c>
      <c r="G251" s="3">
        <f>IFERROR(IF('入力シート'!$A251="","",'入力シート'!O251),"")</f>
        <v/>
      </c>
      <c r="H251" s="17">
        <f>IFERROR(IF('入力シート'!$A251="","",'入力シート'!P251),"")</f>
        <v/>
      </c>
      <c r="I251" s="11">
        <f>IFERROR(IF('入力シート'!$A251="","",'入力シート'!Q251),"")</f>
        <v/>
      </c>
      <c r="J251" s="11">
        <f>IFERROR(IF('入力シート'!$A251="","",'入力シート'!R251),"")</f>
        <v/>
      </c>
      <c r="K251" s="11">
        <f>IFERROR(IF('入力シート'!$A251="","",IF(H251&gt;='設定'!$B$4,"OK",IF(H251&gt;='設定'!$B$5,"注意","要改善"))),"")</f>
        <v/>
      </c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</row>
    <row r="252" ht="26.75" customHeight="1">
      <c r="A252" s="11">
        <f>IFERROR(IF('入力シート'!$A252="","",'入力シート'!A252),"")</f>
        <v/>
      </c>
      <c r="B252" s="11">
        <f>IFERROR(IF('入力シート'!$A252="","",'入力シート'!B252),"")</f>
        <v/>
      </c>
      <c r="C252" s="11">
        <f>IFERROR(IF('入力シート'!$A252="","",'入力シート'!C252),"")</f>
        <v/>
      </c>
      <c r="D252" s="11">
        <f>IFERROR(IF('入力シート'!$A252="","",'入力シート'!D252),"")</f>
        <v/>
      </c>
      <c r="E252" s="3">
        <f>IFERROR(IF('入力シート'!$A252="","",'入力シート'!I252),"")</f>
        <v/>
      </c>
      <c r="F252" s="3">
        <f>IFERROR(IF('入力シート'!$A252="","",'入力シート'!N252),"")</f>
        <v/>
      </c>
      <c r="G252" s="3">
        <f>IFERROR(IF('入力シート'!$A252="","",'入力シート'!O252),"")</f>
        <v/>
      </c>
      <c r="H252" s="17">
        <f>IFERROR(IF('入力シート'!$A252="","",'入力シート'!P252),"")</f>
        <v/>
      </c>
      <c r="I252" s="11">
        <f>IFERROR(IF('入力シート'!$A252="","",'入力シート'!Q252),"")</f>
        <v/>
      </c>
      <c r="J252" s="11">
        <f>IFERROR(IF('入力シート'!$A252="","",'入力シート'!R252),"")</f>
        <v/>
      </c>
      <c r="K252" s="11">
        <f>IFERROR(IF('入力シート'!$A252="","",IF(H252&gt;='設定'!$B$4,"OK",IF(H252&gt;='設定'!$B$5,"注意","要改善"))),"")</f>
        <v/>
      </c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</row>
    <row r="253" ht="26.75" customHeight="1">
      <c r="A253" s="11">
        <f>IFERROR(IF('入力シート'!$A253="","",'入力シート'!A253),"")</f>
        <v/>
      </c>
      <c r="B253" s="11">
        <f>IFERROR(IF('入力シート'!$A253="","",'入力シート'!B253),"")</f>
        <v/>
      </c>
      <c r="C253" s="11">
        <f>IFERROR(IF('入力シート'!$A253="","",'入力シート'!C253),"")</f>
        <v/>
      </c>
      <c r="D253" s="11">
        <f>IFERROR(IF('入力シート'!$A253="","",'入力シート'!D253),"")</f>
        <v/>
      </c>
      <c r="E253" s="3">
        <f>IFERROR(IF('入力シート'!$A253="","",'入力シート'!I253),"")</f>
        <v/>
      </c>
      <c r="F253" s="3">
        <f>IFERROR(IF('入力シート'!$A253="","",'入力シート'!N253),"")</f>
        <v/>
      </c>
      <c r="G253" s="3">
        <f>IFERROR(IF('入力シート'!$A253="","",'入力シート'!O253),"")</f>
        <v/>
      </c>
      <c r="H253" s="17">
        <f>IFERROR(IF('入力シート'!$A253="","",'入力シート'!P253),"")</f>
        <v/>
      </c>
      <c r="I253" s="11">
        <f>IFERROR(IF('入力シート'!$A253="","",'入力シート'!Q253),"")</f>
        <v/>
      </c>
      <c r="J253" s="11">
        <f>IFERROR(IF('入力シート'!$A253="","",'入力シート'!R253),"")</f>
        <v/>
      </c>
      <c r="K253" s="11">
        <f>IFERROR(IF('入力シート'!$A253="","",IF(H253&gt;='設定'!$B$4,"OK",IF(H253&gt;='設定'!$B$5,"注意","要改善"))),"")</f>
        <v/>
      </c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</row>
    <row r="254" ht="26.75" customHeight="1">
      <c r="A254" s="11">
        <f>IFERROR(IF('入力シート'!$A254="","",'入力シート'!A254),"")</f>
        <v/>
      </c>
      <c r="B254" s="11">
        <f>IFERROR(IF('入力シート'!$A254="","",'入力シート'!B254),"")</f>
        <v/>
      </c>
      <c r="C254" s="11">
        <f>IFERROR(IF('入力シート'!$A254="","",'入力シート'!C254),"")</f>
        <v/>
      </c>
      <c r="D254" s="11">
        <f>IFERROR(IF('入力シート'!$A254="","",'入力シート'!D254),"")</f>
        <v/>
      </c>
      <c r="E254" s="3">
        <f>IFERROR(IF('入力シート'!$A254="","",'入力シート'!I254),"")</f>
        <v/>
      </c>
      <c r="F254" s="3">
        <f>IFERROR(IF('入力シート'!$A254="","",'入力シート'!N254),"")</f>
        <v/>
      </c>
      <c r="G254" s="3">
        <f>IFERROR(IF('入力シート'!$A254="","",'入力シート'!O254),"")</f>
        <v/>
      </c>
      <c r="H254" s="17">
        <f>IFERROR(IF('入力シート'!$A254="","",'入力シート'!P254),"")</f>
        <v/>
      </c>
      <c r="I254" s="11">
        <f>IFERROR(IF('入力シート'!$A254="","",'入力シート'!Q254),"")</f>
        <v/>
      </c>
      <c r="J254" s="11">
        <f>IFERROR(IF('入力シート'!$A254="","",'入力シート'!R254),"")</f>
        <v/>
      </c>
      <c r="K254" s="11">
        <f>IFERROR(IF('入力シート'!$A254="","",IF(H254&gt;='設定'!$B$4,"OK",IF(H254&gt;='設定'!$B$5,"注意","要改善"))),"")</f>
        <v/>
      </c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</row>
    <row r="255" ht="26.75" customHeight="1">
      <c r="A255" s="11">
        <f>IFERROR(IF('入力シート'!$A255="","",'入力シート'!A255),"")</f>
        <v/>
      </c>
      <c r="B255" s="11">
        <f>IFERROR(IF('入力シート'!$A255="","",'入力シート'!B255),"")</f>
        <v/>
      </c>
      <c r="C255" s="11">
        <f>IFERROR(IF('入力シート'!$A255="","",'入力シート'!C255),"")</f>
        <v/>
      </c>
      <c r="D255" s="11">
        <f>IFERROR(IF('入力シート'!$A255="","",'入力シート'!D255),"")</f>
        <v/>
      </c>
      <c r="E255" s="3">
        <f>IFERROR(IF('入力シート'!$A255="","",'入力シート'!I255),"")</f>
        <v/>
      </c>
      <c r="F255" s="3">
        <f>IFERROR(IF('入力シート'!$A255="","",'入力シート'!N255),"")</f>
        <v/>
      </c>
      <c r="G255" s="3">
        <f>IFERROR(IF('入力シート'!$A255="","",'入力シート'!O255),"")</f>
        <v/>
      </c>
      <c r="H255" s="17">
        <f>IFERROR(IF('入力シート'!$A255="","",'入力シート'!P255),"")</f>
        <v/>
      </c>
      <c r="I255" s="11">
        <f>IFERROR(IF('入力シート'!$A255="","",'入力シート'!Q255),"")</f>
        <v/>
      </c>
      <c r="J255" s="11">
        <f>IFERROR(IF('入力シート'!$A255="","",'入力シート'!R255),"")</f>
        <v/>
      </c>
      <c r="K255" s="11">
        <f>IFERROR(IF('入力シート'!$A255="","",IF(H255&gt;='設定'!$B$4,"OK",IF(H255&gt;='設定'!$B$5,"注意","要改善"))),"")</f>
        <v/>
      </c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</row>
    <row r="256" ht="26.75" customHeight="1">
      <c r="A256" s="11">
        <f>IFERROR(IF('入力シート'!$A256="","",'入力シート'!A256),"")</f>
        <v/>
      </c>
      <c r="B256" s="11">
        <f>IFERROR(IF('入力シート'!$A256="","",'入力シート'!B256),"")</f>
        <v/>
      </c>
      <c r="C256" s="11">
        <f>IFERROR(IF('入力シート'!$A256="","",'入力シート'!C256),"")</f>
        <v/>
      </c>
      <c r="D256" s="11">
        <f>IFERROR(IF('入力シート'!$A256="","",'入力シート'!D256),"")</f>
        <v/>
      </c>
      <c r="E256" s="3">
        <f>IFERROR(IF('入力シート'!$A256="","",'入力シート'!I256),"")</f>
        <v/>
      </c>
      <c r="F256" s="3">
        <f>IFERROR(IF('入力シート'!$A256="","",'入力シート'!N256),"")</f>
        <v/>
      </c>
      <c r="G256" s="3">
        <f>IFERROR(IF('入力シート'!$A256="","",'入力シート'!O256),"")</f>
        <v/>
      </c>
      <c r="H256" s="17">
        <f>IFERROR(IF('入力シート'!$A256="","",'入力シート'!P256),"")</f>
        <v/>
      </c>
      <c r="I256" s="11">
        <f>IFERROR(IF('入力シート'!$A256="","",'入力シート'!Q256),"")</f>
        <v/>
      </c>
      <c r="J256" s="11">
        <f>IFERROR(IF('入力シート'!$A256="","",'入力シート'!R256),"")</f>
        <v/>
      </c>
      <c r="K256" s="11">
        <f>IFERROR(IF('入力シート'!$A256="","",IF(H256&gt;='設定'!$B$4,"OK",IF(H256&gt;='設定'!$B$5,"注意","要改善"))),"")</f>
        <v/>
      </c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</row>
    <row r="257" ht="26.75" customHeight="1">
      <c r="A257" s="11">
        <f>IFERROR(IF('入力シート'!$A257="","",'入力シート'!A257),"")</f>
        <v/>
      </c>
      <c r="B257" s="11">
        <f>IFERROR(IF('入力シート'!$A257="","",'入力シート'!B257),"")</f>
        <v/>
      </c>
      <c r="C257" s="11">
        <f>IFERROR(IF('入力シート'!$A257="","",'入力シート'!C257),"")</f>
        <v/>
      </c>
      <c r="D257" s="11">
        <f>IFERROR(IF('入力シート'!$A257="","",'入力シート'!D257),"")</f>
        <v/>
      </c>
      <c r="E257" s="3">
        <f>IFERROR(IF('入力シート'!$A257="","",'入力シート'!I257),"")</f>
        <v/>
      </c>
      <c r="F257" s="3">
        <f>IFERROR(IF('入力シート'!$A257="","",'入力シート'!N257),"")</f>
        <v/>
      </c>
      <c r="G257" s="3">
        <f>IFERROR(IF('入力シート'!$A257="","",'入力シート'!O257),"")</f>
        <v/>
      </c>
      <c r="H257" s="17">
        <f>IFERROR(IF('入力シート'!$A257="","",'入力シート'!P257),"")</f>
        <v/>
      </c>
      <c r="I257" s="11">
        <f>IFERROR(IF('入力シート'!$A257="","",'入力シート'!Q257),"")</f>
        <v/>
      </c>
      <c r="J257" s="11">
        <f>IFERROR(IF('入力シート'!$A257="","",'入力シート'!R257),"")</f>
        <v/>
      </c>
      <c r="K257" s="11">
        <f>IFERROR(IF('入力シート'!$A257="","",IF(H257&gt;='設定'!$B$4,"OK",IF(H257&gt;='設定'!$B$5,"注意","要改善"))),"")</f>
        <v/>
      </c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</row>
    <row r="258" ht="26.75" customHeight="1">
      <c r="A258" s="11">
        <f>IFERROR(IF('入力シート'!$A258="","",'入力シート'!A258),"")</f>
        <v/>
      </c>
      <c r="B258" s="11">
        <f>IFERROR(IF('入力シート'!$A258="","",'入力シート'!B258),"")</f>
        <v/>
      </c>
      <c r="C258" s="11">
        <f>IFERROR(IF('入力シート'!$A258="","",'入力シート'!C258),"")</f>
        <v/>
      </c>
      <c r="D258" s="11">
        <f>IFERROR(IF('入力シート'!$A258="","",'入力シート'!D258),"")</f>
        <v/>
      </c>
      <c r="E258" s="3">
        <f>IFERROR(IF('入力シート'!$A258="","",'入力シート'!I258),"")</f>
        <v/>
      </c>
      <c r="F258" s="3">
        <f>IFERROR(IF('入力シート'!$A258="","",'入力シート'!N258),"")</f>
        <v/>
      </c>
      <c r="G258" s="3">
        <f>IFERROR(IF('入力シート'!$A258="","",'入力シート'!O258),"")</f>
        <v/>
      </c>
      <c r="H258" s="17">
        <f>IFERROR(IF('入力シート'!$A258="","",'入力シート'!P258),"")</f>
        <v/>
      </c>
      <c r="I258" s="11">
        <f>IFERROR(IF('入力シート'!$A258="","",'入力シート'!Q258),"")</f>
        <v/>
      </c>
      <c r="J258" s="11">
        <f>IFERROR(IF('入力シート'!$A258="","",'入力シート'!R258),"")</f>
        <v/>
      </c>
      <c r="K258" s="11">
        <f>IFERROR(IF('入力シート'!$A258="","",IF(H258&gt;='設定'!$B$4,"OK",IF(H258&gt;='設定'!$B$5,"注意","要改善"))),"")</f>
        <v/>
      </c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</row>
    <row r="259" ht="26.75" customHeight="1">
      <c r="A259" s="11">
        <f>IFERROR(IF('入力シート'!$A259="","",'入力シート'!A259),"")</f>
        <v/>
      </c>
      <c r="B259" s="11">
        <f>IFERROR(IF('入力シート'!$A259="","",'入力シート'!B259),"")</f>
        <v/>
      </c>
      <c r="C259" s="11">
        <f>IFERROR(IF('入力シート'!$A259="","",'入力シート'!C259),"")</f>
        <v/>
      </c>
      <c r="D259" s="11">
        <f>IFERROR(IF('入力シート'!$A259="","",'入力シート'!D259),"")</f>
        <v/>
      </c>
      <c r="E259" s="3">
        <f>IFERROR(IF('入力シート'!$A259="","",'入力シート'!I259),"")</f>
        <v/>
      </c>
      <c r="F259" s="3">
        <f>IFERROR(IF('入力シート'!$A259="","",'入力シート'!N259),"")</f>
        <v/>
      </c>
      <c r="G259" s="3">
        <f>IFERROR(IF('入力シート'!$A259="","",'入力シート'!O259),"")</f>
        <v/>
      </c>
      <c r="H259" s="17">
        <f>IFERROR(IF('入力シート'!$A259="","",'入力シート'!P259),"")</f>
        <v/>
      </c>
      <c r="I259" s="11">
        <f>IFERROR(IF('入力シート'!$A259="","",'入力シート'!Q259),"")</f>
        <v/>
      </c>
      <c r="J259" s="11">
        <f>IFERROR(IF('入力シート'!$A259="","",'入力シート'!R259),"")</f>
        <v/>
      </c>
      <c r="K259" s="11">
        <f>IFERROR(IF('入力シート'!$A259="","",IF(H259&gt;='設定'!$B$4,"OK",IF(H259&gt;='設定'!$B$5,"注意","要改善"))),"")</f>
        <v/>
      </c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</row>
    <row r="260" ht="26.75" customHeight="1">
      <c r="A260" s="11">
        <f>IFERROR(IF('入力シート'!$A260="","",'入力シート'!A260),"")</f>
        <v/>
      </c>
      <c r="B260" s="11">
        <f>IFERROR(IF('入力シート'!$A260="","",'入力シート'!B260),"")</f>
        <v/>
      </c>
      <c r="C260" s="11">
        <f>IFERROR(IF('入力シート'!$A260="","",'入力シート'!C260),"")</f>
        <v/>
      </c>
      <c r="D260" s="11">
        <f>IFERROR(IF('入力シート'!$A260="","",'入力シート'!D260),"")</f>
        <v/>
      </c>
      <c r="E260" s="3">
        <f>IFERROR(IF('入力シート'!$A260="","",'入力シート'!I260),"")</f>
        <v/>
      </c>
      <c r="F260" s="3">
        <f>IFERROR(IF('入力シート'!$A260="","",'入力シート'!N260),"")</f>
        <v/>
      </c>
      <c r="G260" s="3">
        <f>IFERROR(IF('入力シート'!$A260="","",'入力シート'!O260),"")</f>
        <v/>
      </c>
      <c r="H260" s="17">
        <f>IFERROR(IF('入力シート'!$A260="","",'入力シート'!P260),"")</f>
        <v/>
      </c>
      <c r="I260" s="11">
        <f>IFERROR(IF('入力シート'!$A260="","",'入力シート'!Q260),"")</f>
        <v/>
      </c>
      <c r="J260" s="11">
        <f>IFERROR(IF('入力シート'!$A260="","",'入力シート'!R260),"")</f>
        <v/>
      </c>
      <c r="K260" s="11">
        <f>IFERROR(IF('入力シート'!$A260="","",IF(H260&gt;='設定'!$B$4,"OK",IF(H260&gt;='設定'!$B$5,"注意","要改善"))),"")</f>
        <v/>
      </c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</row>
    <row r="261" ht="26.75" customHeight="1">
      <c r="A261" s="11">
        <f>IFERROR(IF('入力シート'!$A261="","",'入力シート'!A261),"")</f>
        <v/>
      </c>
      <c r="B261" s="11">
        <f>IFERROR(IF('入力シート'!$A261="","",'入力シート'!B261),"")</f>
        <v/>
      </c>
      <c r="C261" s="11">
        <f>IFERROR(IF('入力シート'!$A261="","",'入力シート'!C261),"")</f>
        <v/>
      </c>
      <c r="D261" s="11">
        <f>IFERROR(IF('入力シート'!$A261="","",'入力シート'!D261),"")</f>
        <v/>
      </c>
      <c r="E261" s="3">
        <f>IFERROR(IF('入力シート'!$A261="","",'入力シート'!I261),"")</f>
        <v/>
      </c>
      <c r="F261" s="3">
        <f>IFERROR(IF('入力シート'!$A261="","",'入力シート'!N261),"")</f>
        <v/>
      </c>
      <c r="G261" s="3">
        <f>IFERROR(IF('入力シート'!$A261="","",'入力シート'!O261),"")</f>
        <v/>
      </c>
      <c r="H261" s="17">
        <f>IFERROR(IF('入力シート'!$A261="","",'入力シート'!P261),"")</f>
        <v/>
      </c>
      <c r="I261" s="11">
        <f>IFERROR(IF('入力シート'!$A261="","",'入力シート'!Q261),"")</f>
        <v/>
      </c>
      <c r="J261" s="11">
        <f>IFERROR(IF('入力シート'!$A261="","",'入力シート'!R261),"")</f>
        <v/>
      </c>
      <c r="K261" s="11">
        <f>IFERROR(IF('入力シート'!$A261="","",IF(H261&gt;='設定'!$B$4,"OK",IF(H261&gt;='設定'!$B$5,"注意","要改善"))),"")</f>
        <v/>
      </c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</row>
    <row r="262" ht="26.75" customHeight="1">
      <c r="A262" s="11">
        <f>IFERROR(IF('入力シート'!$A262="","",'入力シート'!A262),"")</f>
        <v/>
      </c>
      <c r="B262" s="11">
        <f>IFERROR(IF('入力シート'!$A262="","",'入力シート'!B262),"")</f>
        <v/>
      </c>
      <c r="C262" s="11">
        <f>IFERROR(IF('入力シート'!$A262="","",'入力シート'!C262),"")</f>
        <v/>
      </c>
      <c r="D262" s="11">
        <f>IFERROR(IF('入力シート'!$A262="","",'入力シート'!D262),"")</f>
        <v/>
      </c>
      <c r="E262" s="3">
        <f>IFERROR(IF('入力シート'!$A262="","",'入力シート'!I262),"")</f>
        <v/>
      </c>
      <c r="F262" s="3">
        <f>IFERROR(IF('入力シート'!$A262="","",'入力シート'!N262),"")</f>
        <v/>
      </c>
      <c r="G262" s="3">
        <f>IFERROR(IF('入力シート'!$A262="","",'入力シート'!O262),"")</f>
        <v/>
      </c>
      <c r="H262" s="17">
        <f>IFERROR(IF('入力シート'!$A262="","",'入力シート'!P262),"")</f>
        <v/>
      </c>
      <c r="I262" s="11">
        <f>IFERROR(IF('入力シート'!$A262="","",'入力シート'!Q262),"")</f>
        <v/>
      </c>
      <c r="J262" s="11">
        <f>IFERROR(IF('入力シート'!$A262="","",'入力シート'!R262),"")</f>
        <v/>
      </c>
      <c r="K262" s="11">
        <f>IFERROR(IF('入力シート'!$A262="","",IF(H262&gt;='設定'!$B$4,"OK",IF(H262&gt;='設定'!$B$5,"注意","要改善"))),"")</f>
        <v/>
      </c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</row>
    <row r="263" ht="26.75" customHeight="1">
      <c r="A263" s="11">
        <f>IFERROR(IF('入力シート'!$A263="","",'入力シート'!A263),"")</f>
        <v/>
      </c>
      <c r="B263" s="11">
        <f>IFERROR(IF('入力シート'!$A263="","",'入力シート'!B263),"")</f>
        <v/>
      </c>
      <c r="C263" s="11">
        <f>IFERROR(IF('入力シート'!$A263="","",'入力シート'!C263),"")</f>
        <v/>
      </c>
      <c r="D263" s="11">
        <f>IFERROR(IF('入力シート'!$A263="","",'入力シート'!D263),"")</f>
        <v/>
      </c>
      <c r="E263" s="3">
        <f>IFERROR(IF('入力シート'!$A263="","",'入力シート'!I263),"")</f>
        <v/>
      </c>
      <c r="F263" s="3">
        <f>IFERROR(IF('入力シート'!$A263="","",'入力シート'!N263),"")</f>
        <v/>
      </c>
      <c r="G263" s="3">
        <f>IFERROR(IF('入力シート'!$A263="","",'入力シート'!O263),"")</f>
        <v/>
      </c>
      <c r="H263" s="17">
        <f>IFERROR(IF('入力シート'!$A263="","",'入力シート'!P263),"")</f>
        <v/>
      </c>
      <c r="I263" s="11">
        <f>IFERROR(IF('入力シート'!$A263="","",'入力シート'!Q263),"")</f>
        <v/>
      </c>
      <c r="J263" s="11">
        <f>IFERROR(IF('入力シート'!$A263="","",'入力シート'!R263),"")</f>
        <v/>
      </c>
      <c r="K263" s="11">
        <f>IFERROR(IF('入力シート'!$A263="","",IF(H263&gt;='設定'!$B$4,"OK",IF(H263&gt;='設定'!$B$5,"注意","要改善"))),"")</f>
        <v/>
      </c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</row>
    <row r="264" ht="26.75" customHeight="1">
      <c r="A264" s="11">
        <f>IFERROR(IF('入力シート'!$A264="","",'入力シート'!A264),"")</f>
        <v/>
      </c>
      <c r="B264" s="11">
        <f>IFERROR(IF('入力シート'!$A264="","",'入力シート'!B264),"")</f>
        <v/>
      </c>
      <c r="C264" s="11">
        <f>IFERROR(IF('入力シート'!$A264="","",'入力シート'!C264),"")</f>
        <v/>
      </c>
      <c r="D264" s="11">
        <f>IFERROR(IF('入力シート'!$A264="","",'入力シート'!D264),"")</f>
        <v/>
      </c>
      <c r="E264" s="3">
        <f>IFERROR(IF('入力シート'!$A264="","",'入力シート'!I264),"")</f>
        <v/>
      </c>
      <c r="F264" s="3">
        <f>IFERROR(IF('入力シート'!$A264="","",'入力シート'!N264),"")</f>
        <v/>
      </c>
      <c r="G264" s="3">
        <f>IFERROR(IF('入力シート'!$A264="","",'入力シート'!O264),"")</f>
        <v/>
      </c>
      <c r="H264" s="17">
        <f>IFERROR(IF('入力シート'!$A264="","",'入力シート'!P264),"")</f>
        <v/>
      </c>
      <c r="I264" s="11">
        <f>IFERROR(IF('入力シート'!$A264="","",'入力シート'!Q264),"")</f>
        <v/>
      </c>
      <c r="J264" s="11">
        <f>IFERROR(IF('入力シート'!$A264="","",'入力シート'!R264),"")</f>
        <v/>
      </c>
      <c r="K264" s="11">
        <f>IFERROR(IF('入力シート'!$A264="","",IF(H264&gt;='設定'!$B$4,"OK",IF(H264&gt;='設定'!$B$5,"注意","要改善"))),"")</f>
        <v/>
      </c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</row>
    <row r="265" ht="26.75" customHeight="1">
      <c r="A265" s="11">
        <f>IFERROR(IF('入力シート'!$A265="","",'入力シート'!A265),"")</f>
        <v/>
      </c>
      <c r="B265" s="11">
        <f>IFERROR(IF('入力シート'!$A265="","",'入力シート'!B265),"")</f>
        <v/>
      </c>
      <c r="C265" s="11">
        <f>IFERROR(IF('入力シート'!$A265="","",'入力シート'!C265),"")</f>
        <v/>
      </c>
      <c r="D265" s="11">
        <f>IFERROR(IF('入力シート'!$A265="","",'入力シート'!D265),"")</f>
        <v/>
      </c>
      <c r="E265" s="3">
        <f>IFERROR(IF('入力シート'!$A265="","",'入力シート'!I265),"")</f>
        <v/>
      </c>
      <c r="F265" s="3">
        <f>IFERROR(IF('入力シート'!$A265="","",'入力シート'!N265),"")</f>
        <v/>
      </c>
      <c r="G265" s="3">
        <f>IFERROR(IF('入力シート'!$A265="","",'入力シート'!O265),"")</f>
        <v/>
      </c>
      <c r="H265" s="17">
        <f>IFERROR(IF('入力シート'!$A265="","",'入力シート'!P265),"")</f>
        <v/>
      </c>
      <c r="I265" s="11">
        <f>IFERROR(IF('入力シート'!$A265="","",'入力シート'!Q265),"")</f>
        <v/>
      </c>
      <c r="J265" s="11">
        <f>IFERROR(IF('入力シート'!$A265="","",'入力シート'!R265),"")</f>
        <v/>
      </c>
      <c r="K265" s="11">
        <f>IFERROR(IF('入力シート'!$A265="","",IF(H265&gt;='設定'!$B$4,"OK",IF(H265&gt;='設定'!$B$5,"注意","要改善"))),"")</f>
        <v/>
      </c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</row>
    <row r="266" ht="26.75" customHeight="1">
      <c r="A266" s="11">
        <f>IFERROR(IF('入力シート'!$A266="","",'入力シート'!A266),"")</f>
        <v/>
      </c>
      <c r="B266" s="11">
        <f>IFERROR(IF('入力シート'!$A266="","",'入力シート'!B266),"")</f>
        <v/>
      </c>
      <c r="C266" s="11">
        <f>IFERROR(IF('入力シート'!$A266="","",'入力シート'!C266),"")</f>
        <v/>
      </c>
      <c r="D266" s="11">
        <f>IFERROR(IF('入力シート'!$A266="","",'入力シート'!D266),"")</f>
        <v/>
      </c>
      <c r="E266" s="3">
        <f>IFERROR(IF('入力シート'!$A266="","",'入力シート'!I266),"")</f>
        <v/>
      </c>
      <c r="F266" s="3">
        <f>IFERROR(IF('入力シート'!$A266="","",'入力シート'!N266),"")</f>
        <v/>
      </c>
      <c r="G266" s="3">
        <f>IFERROR(IF('入力シート'!$A266="","",'入力シート'!O266),"")</f>
        <v/>
      </c>
      <c r="H266" s="17">
        <f>IFERROR(IF('入力シート'!$A266="","",'入力シート'!P266),"")</f>
        <v/>
      </c>
      <c r="I266" s="11">
        <f>IFERROR(IF('入力シート'!$A266="","",'入力シート'!Q266),"")</f>
        <v/>
      </c>
      <c r="J266" s="11">
        <f>IFERROR(IF('入力シート'!$A266="","",'入力シート'!R266),"")</f>
        <v/>
      </c>
      <c r="K266" s="11">
        <f>IFERROR(IF('入力シート'!$A266="","",IF(H266&gt;='設定'!$B$4,"OK",IF(H266&gt;='設定'!$B$5,"注意","要改善"))),"")</f>
        <v/>
      </c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</row>
    <row r="267" ht="26.75" customHeight="1">
      <c r="A267" s="11">
        <f>IFERROR(IF('入力シート'!$A267="","",'入力シート'!A267),"")</f>
        <v/>
      </c>
      <c r="B267" s="11">
        <f>IFERROR(IF('入力シート'!$A267="","",'入力シート'!B267),"")</f>
        <v/>
      </c>
      <c r="C267" s="11">
        <f>IFERROR(IF('入力シート'!$A267="","",'入力シート'!C267),"")</f>
        <v/>
      </c>
      <c r="D267" s="11">
        <f>IFERROR(IF('入力シート'!$A267="","",'入力シート'!D267),"")</f>
        <v/>
      </c>
      <c r="E267" s="3">
        <f>IFERROR(IF('入力シート'!$A267="","",'入力シート'!I267),"")</f>
        <v/>
      </c>
      <c r="F267" s="3">
        <f>IFERROR(IF('入力シート'!$A267="","",'入力シート'!N267),"")</f>
        <v/>
      </c>
      <c r="G267" s="3">
        <f>IFERROR(IF('入力シート'!$A267="","",'入力シート'!O267),"")</f>
        <v/>
      </c>
      <c r="H267" s="17">
        <f>IFERROR(IF('入力シート'!$A267="","",'入力シート'!P267),"")</f>
        <v/>
      </c>
      <c r="I267" s="11">
        <f>IFERROR(IF('入力シート'!$A267="","",'入力シート'!Q267),"")</f>
        <v/>
      </c>
      <c r="J267" s="11">
        <f>IFERROR(IF('入力シート'!$A267="","",'入力シート'!R267),"")</f>
        <v/>
      </c>
      <c r="K267" s="11">
        <f>IFERROR(IF('入力シート'!$A267="","",IF(H267&gt;='設定'!$B$4,"OK",IF(H267&gt;='設定'!$B$5,"注意","要改善"))),"")</f>
        <v/>
      </c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</row>
    <row r="268" ht="26.75" customHeight="1">
      <c r="A268" s="11">
        <f>IFERROR(IF('入力シート'!$A268="","",'入力シート'!A268),"")</f>
        <v/>
      </c>
      <c r="B268" s="11">
        <f>IFERROR(IF('入力シート'!$A268="","",'入力シート'!B268),"")</f>
        <v/>
      </c>
      <c r="C268" s="11">
        <f>IFERROR(IF('入力シート'!$A268="","",'入力シート'!C268),"")</f>
        <v/>
      </c>
      <c r="D268" s="11">
        <f>IFERROR(IF('入力シート'!$A268="","",'入力シート'!D268),"")</f>
        <v/>
      </c>
      <c r="E268" s="3">
        <f>IFERROR(IF('入力シート'!$A268="","",'入力シート'!I268),"")</f>
        <v/>
      </c>
      <c r="F268" s="3">
        <f>IFERROR(IF('入力シート'!$A268="","",'入力シート'!N268),"")</f>
        <v/>
      </c>
      <c r="G268" s="3">
        <f>IFERROR(IF('入力シート'!$A268="","",'入力シート'!O268),"")</f>
        <v/>
      </c>
      <c r="H268" s="17">
        <f>IFERROR(IF('入力シート'!$A268="","",'入力シート'!P268),"")</f>
        <v/>
      </c>
      <c r="I268" s="11">
        <f>IFERROR(IF('入力シート'!$A268="","",'入力シート'!Q268),"")</f>
        <v/>
      </c>
      <c r="J268" s="11">
        <f>IFERROR(IF('入力シート'!$A268="","",'入力シート'!R268),"")</f>
        <v/>
      </c>
      <c r="K268" s="11">
        <f>IFERROR(IF('入力シート'!$A268="","",IF(H268&gt;='設定'!$B$4,"OK",IF(H268&gt;='設定'!$B$5,"注意","要改善"))),"")</f>
        <v/>
      </c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</row>
    <row r="269" ht="26.75" customHeight="1">
      <c r="A269" s="11">
        <f>IFERROR(IF('入力シート'!$A269="","",'入力シート'!A269),"")</f>
        <v/>
      </c>
      <c r="B269" s="11">
        <f>IFERROR(IF('入力シート'!$A269="","",'入力シート'!B269),"")</f>
        <v/>
      </c>
      <c r="C269" s="11">
        <f>IFERROR(IF('入力シート'!$A269="","",'入力シート'!C269),"")</f>
        <v/>
      </c>
      <c r="D269" s="11">
        <f>IFERROR(IF('入力シート'!$A269="","",'入力シート'!D269),"")</f>
        <v/>
      </c>
      <c r="E269" s="3">
        <f>IFERROR(IF('入力シート'!$A269="","",'入力シート'!I269),"")</f>
        <v/>
      </c>
      <c r="F269" s="3">
        <f>IFERROR(IF('入力シート'!$A269="","",'入力シート'!N269),"")</f>
        <v/>
      </c>
      <c r="G269" s="3">
        <f>IFERROR(IF('入力シート'!$A269="","",'入力シート'!O269),"")</f>
        <v/>
      </c>
      <c r="H269" s="17">
        <f>IFERROR(IF('入力シート'!$A269="","",'入力シート'!P269),"")</f>
        <v/>
      </c>
      <c r="I269" s="11">
        <f>IFERROR(IF('入力シート'!$A269="","",'入力シート'!Q269),"")</f>
        <v/>
      </c>
      <c r="J269" s="11">
        <f>IFERROR(IF('入力シート'!$A269="","",'入力シート'!R269),"")</f>
        <v/>
      </c>
      <c r="K269" s="11">
        <f>IFERROR(IF('入力シート'!$A269="","",IF(H269&gt;='設定'!$B$4,"OK",IF(H269&gt;='設定'!$B$5,"注意","要改善"))),"")</f>
        <v/>
      </c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</row>
    <row r="270" ht="26.75" customHeight="1">
      <c r="A270" s="11">
        <f>IFERROR(IF('入力シート'!$A270="","",'入力シート'!A270),"")</f>
        <v/>
      </c>
      <c r="B270" s="11">
        <f>IFERROR(IF('入力シート'!$A270="","",'入力シート'!B270),"")</f>
        <v/>
      </c>
      <c r="C270" s="11">
        <f>IFERROR(IF('入力シート'!$A270="","",'入力シート'!C270),"")</f>
        <v/>
      </c>
      <c r="D270" s="11">
        <f>IFERROR(IF('入力シート'!$A270="","",'入力シート'!D270),"")</f>
        <v/>
      </c>
      <c r="E270" s="3">
        <f>IFERROR(IF('入力シート'!$A270="","",'入力シート'!I270),"")</f>
        <v/>
      </c>
      <c r="F270" s="3">
        <f>IFERROR(IF('入力シート'!$A270="","",'入力シート'!N270),"")</f>
        <v/>
      </c>
      <c r="G270" s="3">
        <f>IFERROR(IF('入力シート'!$A270="","",'入力シート'!O270),"")</f>
        <v/>
      </c>
      <c r="H270" s="17">
        <f>IFERROR(IF('入力シート'!$A270="","",'入力シート'!P270),"")</f>
        <v/>
      </c>
      <c r="I270" s="11">
        <f>IFERROR(IF('入力シート'!$A270="","",'入力シート'!Q270),"")</f>
        <v/>
      </c>
      <c r="J270" s="11">
        <f>IFERROR(IF('入力シート'!$A270="","",'入力シート'!R270),"")</f>
        <v/>
      </c>
      <c r="K270" s="11">
        <f>IFERROR(IF('入力シート'!$A270="","",IF(H270&gt;='設定'!$B$4,"OK",IF(H270&gt;='設定'!$B$5,"注意","要改善"))),"")</f>
        <v/>
      </c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</row>
    <row r="271" ht="26.75" customHeight="1">
      <c r="A271" s="11">
        <f>IFERROR(IF('入力シート'!$A271="","",'入力シート'!A271),"")</f>
        <v/>
      </c>
      <c r="B271" s="11">
        <f>IFERROR(IF('入力シート'!$A271="","",'入力シート'!B271),"")</f>
        <v/>
      </c>
      <c r="C271" s="11">
        <f>IFERROR(IF('入力シート'!$A271="","",'入力シート'!C271),"")</f>
        <v/>
      </c>
      <c r="D271" s="11">
        <f>IFERROR(IF('入力シート'!$A271="","",'入力シート'!D271),"")</f>
        <v/>
      </c>
      <c r="E271" s="3">
        <f>IFERROR(IF('入力シート'!$A271="","",'入力シート'!I271),"")</f>
        <v/>
      </c>
      <c r="F271" s="3">
        <f>IFERROR(IF('入力シート'!$A271="","",'入力シート'!N271),"")</f>
        <v/>
      </c>
      <c r="G271" s="3">
        <f>IFERROR(IF('入力シート'!$A271="","",'入力シート'!O271),"")</f>
        <v/>
      </c>
      <c r="H271" s="17">
        <f>IFERROR(IF('入力シート'!$A271="","",'入力シート'!P271),"")</f>
        <v/>
      </c>
      <c r="I271" s="11">
        <f>IFERROR(IF('入力シート'!$A271="","",'入力シート'!Q271),"")</f>
        <v/>
      </c>
      <c r="J271" s="11">
        <f>IFERROR(IF('入力シート'!$A271="","",'入力シート'!R271),"")</f>
        <v/>
      </c>
      <c r="K271" s="11">
        <f>IFERROR(IF('入力シート'!$A271="","",IF(H271&gt;='設定'!$B$4,"OK",IF(H271&gt;='設定'!$B$5,"注意","要改善"))),"")</f>
        <v/>
      </c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</row>
    <row r="272" ht="26.75" customHeight="1">
      <c r="A272" s="11">
        <f>IFERROR(IF('入力シート'!$A272="","",'入力シート'!A272),"")</f>
        <v/>
      </c>
      <c r="B272" s="11">
        <f>IFERROR(IF('入力シート'!$A272="","",'入力シート'!B272),"")</f>
        <v/>
      </c>
      <c r="C272" s="11">
        <f>IFERROR(IF('入力シート'!$A272="","",'入力シート'!C272),"")</f>
        <v/>
      </c>
      <c r="D272" s="11">
        <f>IFERROR(IF('入力シート'!$A272="","",'入力シート'!D272),"")</f>
        <v/>
      </c>
      <c r="E272" s="3">
        <f>IFERROR(IF('入力シート'!$A272="","",'入力シート'!I272),"")</f>
        <v/>
      </c>
      <c r="F272" s="3">
        <f>IFERROR(IF('入力シート'!$A272="","",'入力シート'!N272),"")</f>
        <v/>
      </c>
      <c r="G272" s="3">
        <f>IFERROR(IF('入力シート'!$A272="","",'入力シート'!O272),"")</f>
        <v/>
      </c>
      <c r="H272" s="17">
        <f>IFERROR(IF('入力シート'!$A272="","",'入力シート'!P272),"")</f>
        <v/>
      </c>
      <c r="I272" s="11">
        <f>IFERROR(IF('入力シート'!$A272="","",'入力シート'!Q272),"")</f>
        <v/>
      </c>
      <c r="J272" s="11">
        <f>IFERROR(IF('入力シート'!$A272="","",'入力シート'!R272),"")</f>
        <v/>
      </c>
      <c r="K272" s="11">
        <f>IFERROR(IF('入力シート'!$A272="","",IF(H272&gt;='設定'!$B$4,"OK",IF(H272&gt;='設定'!$B$5,"注意","要改善"))),"")</f>
        <v/>
      </c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</row>
    <row r="273" ht="26.75" customHeight="1">
      <c r="A273" s="11">
        <f>IFERROR(IF('入力シート'!$A273="","",'入力シート'!A273),"")</f>
        <v/>
      </c>
      <c r="B273" s="11">
        <f>IFERROR(IF('入力シート'!$A273="","",'入力シート'!B273),"")</f>
        <v/>
      </c>
      <c r="C273" s="11">
        <f>IFERROR(IF('入力シート'!$A273="","",'入力シート'!C273),"")</f>
        <v/>
      </c>
      <c r="D273" s="11">
        <f>IFERROR(IF('入力シート'!$A273="","",'入力シート'!D273),"")</f>
        <v/>
      </c>
      <c r="E273" s="3">
        <f>IFERROR(IF('入力シート'!$A273="","",'入力シート'!I273),"")</f>
        <v/>
      </c>
      <c r="F273" s="3">
        <f>IFERROR(IF('入力シート'!$A273="","",'入力シート'!N273),"")</f>
        <v/>
      </c>
      <c r="G273" s="3">
        <f>IFERROR(IF('入力シート'!$A273="","",'入力シート'!O273),"")</f>
        <v/>
      </c>
      <c r="H273" s="17">
        <f>IFERROR(IF('入力シート'!$A273="","",'入力シート'!P273),"")</f>
        <v/>
      </c>
      <c r="I273" s="11">
        <f>IFERROR(IF('入力シート'!$A273="","",'入力シート'!Q273),"")</f>
        <v/>
      </c>
      <c r="J273" s="11">
        <f>IFERROR(IF('入力シート'!$A273="","",'入力シート'!R273),"")</f>
        <v/>
      </c>
      <c r="K273" s="11">
        <f>IFERROR(IF('入力シート'!$A273="","",IF(H273&gt;='設定'!$B$4,"OK",IF(H273&gt;='設定'!$B$5,"注意","要改善"))),"")</f>
        <v/>
      </c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</row>
    <row r="274" ht="26.75" customHeight="1">
      <c r="A274" s="11">
        <f>IFERROR(IF('入力シート'!$A274="","",'入力シート'!A274),"")</f>
        <v/>
      </c>
      <c r="B274" s="11">
        <f>IFERROR(IF('入力シート'!$A274="","",'入力シート'!B274),"")</f>
        <v/>
      </c>
      <c r="C274" s="11">
        <f>IFERROR(IF('入力シート'!$A274="","",'入力シート'!C274),"")</f>
        <v/>
      </c>
      <c r="D274" s="11">
        <f>IFERROR(IF('入力シート'!$A274="","",'入力シート'!D274),"")</f>
        <v/>
      </c>
      <c r="E274" s="3">
        <f>IFERROR(IF('入力シート'!$A274="","",'入力シート'!I274),"")</f>
        <v/>
      </c>
      <c r="F274" s="3">
        <f>IFERROR(IF('入力シート'!$A274="","",'入力シート'!N274),"")</f>
        <v/>
      </c>
      <c r="G274" s="3">
        <f>IFERROR(IF('入力シート'!$A274="","",'入力シート'!O274),"")</f>
        <v/>
      </c>
      <c r="H274" s="17">
        <f>IFERROR(IF('入力シート'!$A274="","",'入力シート'!P274),"")</f>
        <v/>
      </c>
      <c r="I274" s="11">
        <f>IFERROR(IF('入力シート'!$A274="","",'入力シート'!Q274),"")</f>
        <v/>
      </c>
      <c r="J274" s="11">
        <f>IFERROR(IF('入力シート'!$A274="","",'入力シート'!R274),"")</f>
        <v/>
      </c>
      <c r="K274" s="11">
        <f>IFERROR(IF('入力シート'!$A274="","",IF(H274&gt;='設定'!$B$4,"OK",IF(H274&gt;='設定'!$B$5,"注意","要改善"))),"")</f>
        <v/>
      </c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</row>
    <row r="275" ht="26.75" customHeight="1">
      <c r="A275" s="11">
        <f>IFERROR(IF('入力シート'!$A275="","",'入力シート'!A275),"")</f>
        <v/>
      </c>
      <c r="B275" s="11">
        <f>IFERROR(IF('入力シート'!$A275="","",'入力シート'!B275),"")</f>
        <v/>
      </c>
      <c r="C275" s="11">
        <f>IFERROR(IF('入力シート'!$A275="","",'入力シート'!C275),"")</f>
        <v/>
      </c>
      <c r="D275" s="11">
        <f>IFERROR(IF('入力シート'!$A275="","",'入力シート'!D275),"")</f>
        <v/>
      </c>
      <c r="E275" s="3">
        <f>IFERROR(IF('入力シート'!$A275="","",'入力シート'!I275),"")</f>
        <v/>
      </c>
      <c r="F275" s="3">
        <f>IFERROR(IF('入力シート'!$A275="","",'入力シート'!N275),"")</f>
        <v/>
      </c>
      <c r="G275" s="3">
        <f>IFERROR(IF('入力シート'!$A275="","",'入力シート'!O275),"")</f>
        <v/>
      </c>
      <c r="H275" s="17">
        <f>IFERROR(IF('入力シート'!$A275="","",'入力シート'!P275),"")</f>
        <v/>
      </c>
      <c r="I275" s="11">
        <f>IFERROR(IF('入力シート'!$A275="","",'入力シート'!Q275),"")</f>
        <v/>
      </c>
      <c r="J275" s="11">
        <f>IFERROR(IF('入力シート'!$A275="","",'入力シート'!R275),"")</f>
        <v/>
      </c>
      <c r="K275" s="11">
        <f>IFERROR(IF('入力シート'!$A275="","",IF(H275&gt;='設定'!$B$4,"OK",IF(H275&gt;='設定'!$B$5,"注意","要改善"))),"")</f>
        <v/>
      </c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</row>
    <row r="276" ht="26.75" customHeight="1">
      <c r="A276" s="11">
        <f>IFERROR(IF('入力シート'!$A276="","",'入力シート'!A276),"")</f>
        <v/>
      </c>
      <c r="B276" s="11">
        <f>IFERROR(IF('入力シート'!$A276="","",'入力シート'!B276),"")</f>
        <v/>
      </c>
      <c r="C276" s="11">
        <f>IFERROR(IF('入力シート'!$A276="","",'入力シート'!C276),"")</f>
        <v/>
      </c>
      <c r="D276" s="11">
        <f>IFERROR(IF('入力シート'!$A276="","",'入力シート'!D276),"")</f>
        <v/>
      </c>
      <c r="E276" s="3">
        <f>IFERROR(IF('入力シート'!$A276="","",'入力シート'!I276),"")</f>
        <v/>
      </c>
      <c r="F276" s="3">
        <f>IFERROR(IF('入力シート'!$A276="","",'入力シート'!N276),"")</f>
        <v/>
      </c>
      <c r="G276" s="3">
        <f>IFERROR(IF('入力シート'!$A276="","",'入力シート'!O276),"")</f>
        <v/>
      </c>
      <c r="H276" s="17">
        <f>IFERROR(IF('入力シート'!$A276="","",'入力シート'!P276),"")</f>
        <v/>
      </c>
      <c r="I276" s="11">
        <f>IFERROR(IF('入力シート'!$A276="","",'入力シート'!Q276),"")</f>
        <v/>
      </c>
      <c r="J276" s="11">
        <f>IFERROR(IF('入力シート'!$A276="","",'入力シート'!R276),"")</f>
        <v/>
      </c>
      <c r="K276" s="11">
        <f>IFERROR(IF('入力シート'!$A276="","",IF(H276&gt;='設定'!$B$4,"OK",IF(H276&gt;='設定'!$B$5,"注意","要改善"))),"")</f>
        <v/>
      </c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</row>
    <row r="277" ht="26.75" customHeight="1">
      <c r="A277" s="11">
        <f>IFERROR(IF('入力シート'!$A277="","",'入力シート'!A277),"")</f>
        <v/>
      </c>
      <c r="B277" s="11">
        <f>IFERROR(IF('入力シート'!$A277="","",'入力シート'!B277),"")</f>
        <v/>
      </c>
      <c r="C277" s="11">
        <f>IFERROR(IF('入力シート'!$A277="","",'入力シート'!C277),"")</f>
        <v/>
      </c>
      <c r="D277" s="11">
        <f>IFERROR(IF('入力シート'!$A277="","",'入力シート'!D277),"")</f>
        <v/>
      </c>
      <c r="E277" s="3">
        <f>IFERROR(IF('入力シート'!$A277="","",'入力シート'!I277),"")</f>
        <v/>
      </c>
      <c r="F277" s="3">
        <f>IFERROR(IF('入力シート'!$A277="","",'入力シート'!N277),"")</f>
        <v/>
      </c>
      <c r="G277" s="3">
        <f>IFERROR(IF('入力シート'!$A277="","",'入力シート'!O277),"")</f>
        <v/>
      </c>
      <c r="H277" s="17">
        <f>IFERROR(IF('入力シート'!$A277="","",'入力シート'!P277),"")</f>
        <v/>
      </c>
      <c r="I277" s="11">
        <f>IFERROR(IF('入力シート'!$A277="","",'入力シート'!Q277),"")</f>
        <v/>
      </c>
      <c r="J277" s="11">
        <f>IFERROR(IF('入力シート'!$A277="","",'入力シート'!R277),"")</f>
        <v/>
      </c>
      <c r="K277" s="11">
        <f>IFERROR(IF('入力シート'!$A277="","",IF(H277&gt;='設定'!$B$4,"OK",IF(H277&gt;='設定'!$B$5,"注意","要改善"))),"")</f>
        <v/>
      </c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</row>
    <row r="278" ht="26.75" customHeight="1">
      <c r="A278" s="11">
        <f>IFERROR(IF('入力シート'!$A278="","",'入力シート'!A278),"")</f>
        <v/>
      </c>
      <c r="B278" s="11">
        <f>IFERROR(IF('入力シート'!$A278="","",'入力シート'!B278),"")</f>
        <v/>
      </c>
      <c r="C278" s="11">
        <f>IFERROR(IF('入力シート'!$A278="","",'入力シート'!C278),"")</f>
        <v/>
      </c>
      <c r="D278" s="11">
        <f>IFERROR(IF('入力シート'!$A278="","",'入力シート'!D278),"")</f>
        <v/>
      </c>
      <c r="E278" s="3">
        <f>IFERROR(IF('入力シート'!$A278="","",'入力シート'!I278),"")</f>
        <v/>
      </c>
      <c r="F278" s="3">
        <f>IFERROR(IF('入力シート'!$A278="","",'入力シート'!N278),"")</f>
        <v/>
      </c>
      <c r="G278" s="3">
        <f>IFERROR(IF('入力シート'!$A278="","",'入力シート'!O278),"")</f>
        <v/>
      </c>
      <c r="H278" s="17">
        <f>IFERROR(IF('入力シート'!$A278="","",'入力シート'!P278),"")</f>
        <v/>
      </c>
      <c r="I278" s="11">
        <f>IFERROR(IF('入力シート'!$A278="","",'入力シート'!Q278),"")</f>
        <v/>
      </c>
      <c r="J278" s="11">
        <f>IFERROR(IF('入力シート'!$A278="","",'入力シート'!R278),"")</f>
        <v/>
      </c>
      <c r="K278" s="11">
        <f>IFERROR(IF('入力シート'!$A278="","",IF(H278&gt;='設定'!$B$4,"OK",IF(H278&gt;='設定'!$B$5,"注意","要改善"))),"")</f>
        <v/>
      </c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</row>
    <row r="279" ht="26.75" customHeight="1">
      <c r="A279" s="11">
        <f>IFERROR(IF('入力シート'!$A279="","",'入力シート'!A279),"")</f>
        <v/>
      </c>
      <c r="B279" s="11">
        <f>IFERROR(IF('入力シート'!$A279="","",'入力シート'!B279),"")</f>
        <v/>
      </c>
      <c r="C279" s="11">
        <f>IFERROR(IF('入力シート'!$A279="","",'入力シート'!C279),"")</f>
        <v/>
      </c>
      <c r="D279" s="11">
        <f>IFERROR(IF('入力シート'!$A279="","",'入力シート'!D279),"")</f>
        <v/>
      </c>
      <c r="E279" s="3">
        <f>IFERROR(IF('入力シート'!$A279="","",'入力シート'!I279),"")</f>
        <v/>
      </c>
      <c r="F279" s="3">
        <f>IFERROR(IF('入力シート'!$A279="","",'入力シート'!N279),"")</f>
        <v/>
      </c>
      <c r="G279" s="3">
        <f>IFERROR(IF('入力シート'!$A279="","",'入力シート'!O279),"")</f>
        <v/>
      </c>
      <c r="H279" s="17">
        <f>IFERROR(IF('入力シート'!$A279="","",'入力シート'!P279),"")</f>
        <v/>
      </c>
      <c r="I279" s="11">
        <f>IFERROR(IF('入力シート'!$A279="","",'入力シート'!Q279),"")</f>
        <v/>
      </c>
      <c r="J279" s="11">
        <f>IFERROR(IF('入力シート'!$A279="","",'入力シート'!R279),"")</f>
        <v/>
      </c>
      <c r="K279" s="11">
        <f>IFERROR(IF('入力シート'!$A279="","",IF(H279&gt;='設定'!$B$4,"OK",IF(H279&gt;='設定'!$B$5,"注意","要改善"))),"")</f>
        <v/>
      </c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</row>
    <row r="280" ht="26.75" customHeight="1">
      <c r="A280" s="11">
        <f>IFERROR(IF('入力シート'!$A280="","",'入力シート'!A280),"")</f>
        <v/>
      </c>
      <c r="B280" s="11">
        <f>IFERROR(IF('入力シート'!$A280="","",'入力シート'!B280),"")</f>
        <v/>
      </c>
      <c r="C280" s="11">
        <f>IFERROR(IF('入力シート'!$A280="","",'入力シート'!C280),"")</f>
        <v/>
      </c>
      <c r="D280" s="11">
        <f>IFERROR(IF('入力シート'!$A280="","",'入力シート'!D280),"")</f>
        <v/>
      </c>
      <c r="E280" s="3">
        <f>IFERROR(IF('入力シート'!$A280="","",'入力シート'!I280),"")</f>
        <v/>
      </c>
      <c r="F280" s="3">
        <f>IFERROR(IF('入力シート'!$A280="","",'入力シート'!N280),"")</f>
        <v/>
      </c>
      <c r="G280" s="3">
        <f>IFERROR(IF('入力シート'!$A280="","",'入力シート'!O280),"")</f>
        <v/>
      </c>
      <c r="H280" s="17">
        <f>IFERROR(IF('入力シート'!$A280="","",'入力シート'!P280),"")</f>
        <v/>
      </c>
      <c r="I280" s="11">
        <f>IFERROR(IF('入力シート'!$A280="","",'入力シート'!Q280),"")</f>
        <v/>
      </c>
      <c r="J280" s="11">
        <f>IFERROR(IF('入力シート'!$A280="","",'入力シート'!R280),"")</f>
        <v/>
      </c>
      <c r="K280" s="11">
        <f>IFERROR(IF('入力シート'!$A280="","",IF(H280&gt;='設定'!$B$4,"OK",IF(H280&gt;='設定'!$B$5,"注意","要改善"))),"")</f>
        <v/>
      </c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</row>
    <row r="281" ht="26.75" customHeight="1">
      <c r="A281" s="11">
        <f>IFERROR(IF('入力シート'!$A281="","",'入力シート'!A281),"")</f>
        <v/>
      </c>
      <c r="B281" s="11">
        <f>IFERROR(IF('入力シート'!$A281="","",'入力シート'!B281),"")</f>
        <v/>
      </c>
      <c r="C281" s="11">
        <f>IFERROR(IF('入力シート'!$A281="","",'入力シート'!C281),"")</f>
        <v/>
      </c>
      <c r="D281" s="11">
        <f>IFERROR(IF('入力シート'!$A281="","",'入力シート'!D281),"")</f>
        <v/>
      </c>
      <c r="E281" s="3">
        <f>IFERROR(IF('入力シート'!$A281="","",'入力シート'!I281),"")</f>
        <v/>
      </c>
      <c r="F281" s="3">
        <f>IFERROR(IF('入力シート'!$A281="","",'入力シート'!N281),"")</f>
        <v/>
      </c>
      <c r="G281" s="3">
        <f>IFERROR(IF('入力シート'!$A281="","",'入力シート'!O281),"")</f>
        <v/>
      </c>
      <c r="H281" s="17">
        <f>IFERROR(IF('入力シート'!$A281="","",'入力シート'!P281),"")</f>
        <v/>
      </c>
      <c r="I281" s="11">
        <f>IFERROR(IF('入力シート'!$A281="","",'入力シート'!Q281),"")</f>
        <v/>
      </c>
      <c r="J281" s="11">
        <f>IFERROR(IF('入力シート'!$A281="","",'入力シート'!R281),"")</f>
        <v/>
      </c>
      <c r="K281" s="11">
        <f>IFERROR(IF('入力シート'!$A281="","",IF(H281&gt;='設定'!$B$4,"OK",IF(H281&gt;='設定'!$B$5,"注意","要改善"))),"")</f>
        <v/>
      </c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</row>
    <row r="282" ht="26.75" customHeight="1">
      <c r="A282" s="11">
        <f>IFERROR(IF('入力シート'!$A282="","",'入力シート'!A282),"")</f>
        <v/>
      </c>
      <c r="B282" s="11">
        <f>IFERROR(IF('入力シート'!$A282="","",'入力シート'!B282),"")</f>
        <v/>
      </c>
      <c r="C282" s="11">
        <f>IFERROR(IF('入力シート'!$A282="","",'入力シート'!C282),"")</f>
        <v/>
      </c>
      <c r="D282" s="11">
        <f>IFERROR(IF('入力シート'!$A282="","",'入力シート'!D282),"")</f>
        <v/>
      </c>
      <c r="E282" s="3">
        <f>IFERROR(IF('入力シート'!$A282="","",'入力シート'!I282),"")</f>
        <v/>
      </c>
      <c r="F282" s="3">
        <f>IFERROR(IF('入力シート'!$A282="","",'入力シート'!N282),"")</f>
        <v/>
      </c>
      <c r="G282" s="3">
        <f>IFERROR(IF('入力シート'!$A282="","",'入力シート'!O282),"")</f>
        <v/>
      </c>
      <c r="H282" s="17">
        <f>IFERROR(IF('入力シート'!$A282="","",'入力シート'!P282),"")</f>
        <v/>
      </c>
      <c r="I282" s="11">
        <f>IFERROR(IF('入力シート'!$A282="","",'入力シート'!Q282),"")</f>
        <v/>
      </c>
      <c r="J282" s="11">
        <f>IFERROR(IF('入力シート'!$A282="","",'入力シート'!R282),"")</f>
        <v/>
      </c>
      <c r="K282" s="11">
        <f>IFERROR(IF('入力シート'!$A282="","",IF(H282&gt;='設定'!$B$4,"OK",IF(H282&gt;='設定'!$B$5,"注意","要改善"))),"")</f>
        <v/>
      </c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</row>
    <row r="283" ht="26.75" customHeight="1">
      <c r="A283" s="11">
        <f>IFERROR(IF('入力シート'!$A283="","",'入力シート'!A283),"")</f>
        <v/>
      </c>
      <c r="B283" s="11">
        <f>IFERROR(IF('入力シート'!$A283="","",'入力シート'!B283),"")</f>
        <v/>
      </c>
      <c r="C283" s="11">
        <f>IFERROR(IF('入力シート'!$A283="","",'入力シート'!C283),"")</f>
        <v/>
      </c>
      <c r="D283" s="11">
        <f>IFERROR(IF('入力シート'!$A283="","",'入力シート'!D283),"")</f>
        <v/>
      </c>
      <c r="E283" s="3">
        <f>IFERROR(IF('入力シート'!$A283="","",'入力シート'!I283),"")</f>
        <v/>
      </c>
      <c r="F283" s="3">
        <f>IFERROR(IF('入力シート'!$A283="","",'入力シート'!N283),"")</f>
        <v/>
      </c>
      <c r="G283" s="3">
        <f>IFERROR(IF('入力シート'!$A283="","",'入力シート'!O283),"")</f>
        <v/>
      </c>
      <c r="H283" s="17">
        <f>IFERROR(IF('入力シート'!$A283="","",'入力シート'!P283),"")</f>
        <v/>
      </c>
      <c r="I283" s="11">
        <f>IFERROR(IF('入力シート'!$A283="","",'入力シート'!Q283),"")</f>
        <v/>
      </c>
      <c r="J283" s="11">
        <f>IFERROR(IF('入力シート'!$A283="","",'入力シート'!R283),"")</f>
        <v/>
      </c>
      <c r="K283" s="11">
        <f>IFERROR(IF('入力シート'!$A283="","",IF(H283&gt;='設定'!$B$4,"OK",IF(H283&gt;='設定'!$B$5,"注意","要改善"))),"")</f>
        <v/>
      </c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</row>
    <row r="284" ht="26.75" customHeight="1">
      <c r="A284" s="11">
        <f>IFERROR(IF('入力シート'!$A284="","",'入力シート'!A284),"")</f>
        <v/>
      </c>
      <c r="B284" s="11">
        <f>IFERROR(IF('入力シート'!$A284="","",'入力シート'!B284),"")</f>
        <v/>
      </c>
      <c r="C284" s="11">
        <f>IFERROR(IF('入力シート'!$A284="","",'入力シート'!C284),"")</f>
        <v/>
      </c>
      <c r="D284" s="11">
        <f>IFERROR(IF('入力シート'!$A284="","",'入力シート'!D284),"")</f>
        <v/>
      </c>
      <c r="E284" s="3">
        <f>IFERROR(IF('入力シート'!$A284="","",'入力シート'!I284),"")</f>
        <v/>
      </c>
      <c r="F284" s="3">
        <f>IFERROR(IF('入力シート'!$A284="","",'入力シート'!N284),"")</f>
        <v/>
      </c>
      <c r="G284" s="3">
        <f>IFERROR(IF('入力シート'!$A284="","",'入力シート'!O284),"")</f>
        <v/>
      </c>
      <c r="H284" s="17">
        <f>IFERROR(IF('入力シート'!$A284="","",'入力シート'!P284),"")</f>
        <v/>
      </c>
      <c r="I284" s="11">
        <f>IFERROR(IF('入力シート'!$A284="","",'入力シート'!Q284),"")</f>
        <v/>
      </c>
      <c r="J284" s="11">
        <f>IFERROR(IF('入力シート'!$A284="","",'入力シート'!R284),"")</f>
        <v/>
      </c>
      <c r="K284" s="11">
        <f>IFERROR(IF('入力シート'!$A284="","",IF(H284&gt;='設定'!$B$4,"OK",IF(H284&gt;='設定'!$B$5,"注意","要改善"))),"")</f>
        <v/>
      </c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</row>
    <row r="285" ht="26.75" customHeight="1">
      <c r="A285" s="11">
        <f>IFERROR(IF('入力シート'!$A285="","",'入力シート'!A285),"")</f>
        <v/>
      </c>
      <c r="B285" s="11">
        <f>IFERROR(IF('入力シート'!$A285="","",'入力シート'!B285),"")</f>
        <v/>
      </c>
      <c r="C285" s="11">
        <f>IFERROR(IF('入力シート'!$A285="","",'入力シート'!C285),"")</f>
        <v/>
      </c>
      <c r="D285" s="11">
        <f>IFERROR(IF('入力シート'!$A285="","",'入力シート'!D285),"")</f>
        <v/>
      </c>
      <c r="E285" s="3">
        <f>IFERROR(IF('入力シート'!$A285="","",'入力シート'!I285),"")</f>
        <v/>
      </c>
      <c r="F285" s="3">
        <f>IFERROR(IF('入力シート'!$A285="","",'入力シート'!N285),"")</f>
        <v/>
      </c>
      <c r="G285" s="3">
        <f>IFERROR(IF('入力シート'!$A285="","",'入力シート'!O285),"")</f>
        <v/>
      </c>
      <c r="H285" s="17">
        <f>IFERROR(IF('入力シート'!$A285="","",'入力シート'!P285),"")</f>
        <v/>
      </c>
      <c r="I285" s="11">
        <f>IFERROR(IF('入力シート'!$A285="","",'入力シート'!Q285),"")</f>
        <v/>
      </c>
      <c r="J285" s="11">
        <f>IFERROR(IF('入力シート'!$A285="","",'入力シート'!R285),"")</f>
        <v/>
      </c>
      <c r="K285" s="11">
        <f>IFERROR(IF('入力シート'!$A285="","",IF(H285&gt;='設定'!$B$4,"OK",IF(H285&gt;='設定'!$B$5,"注意","要改善"))),"")</f>
        <v/>
      </c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</row>
    <row r="286" ht="26.75" customHeight="1">
      <c r="A286" s="11">
        <f>IFERROR(IF('入力シート'!$A286="","",'入力シート'!A286),"")</f>
        <v/>
      </c>
      <c r="B286" s="11">
        <f>IFERROR(IF('入力シート'!$A286="","",'入力シート'!B286),"")</f>
        <v/>
      </c>
      <c r="C286" s="11">
        <f>IFERROR(IF('入力シート'!$A286="","",'入力シート'!C286),"")</f>
        <v/>
      </c>
      <c r="D286" s="11">
        <f>IFERROR(IF('入力シート'!$A286="","",'入力シート'!D286),"")</f>
        <v/>
      </c>
      <c r="E286" s="3">
        <f>IFERROR(IF('入力シート'!$A286="","",'入力シート'!I286),"")</f>
        <v/>
      </c>
      <c r="F286" s="3">
        <f>IFERROR(IF('入力シート'!$A286="","",'入力シート'!N286),"")</f>
        <v/>
      </c>
      <c r="G286" s="3">
        <f>IFERROR(IF('入力シート'!$A286="","",'入力シート'!O286),"")</f>
        <v/>
      </c>
      <c r="H286" s="17">
        <f>IFERROR(IF('入力シート'!$A286="","",'入力シート'!P286),"")</f>
        <v/>
      </c>
      <c r="I286" s="11">
        <f>IFERROR(IF('入力シート'!$A286="","",'入力シート'!Q286),"")</f>
        <v/>
      </c>
      <c r="J286" s="11">
        <f>IFERROR(IF('入力シート'!$A286="","",'入力シート'!R286),"")</f>
        <v/>
      </c>
      <c r="K286" s="11">
        <f>IFERROR(IF('入力シート'!$A286="","",IF(H286&gt;='設定'!$B$4,"OK",IF(H286&gt;='設定'!$B$5,"注意","要改善"))),"")</f>
        <v/>
      </c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</row>
    <row r="287" ht="26.75" customHeight="1">
      <c r="A287" s="11">
        <f>IFERROR(IF('入力シート'!$A287="","",'入力シート'!A287),"")</f>
        <v/>
      </c>
      <c r="B287" s="11">
        <f>IFERROR(IF('入力シート'!$A287="","",'入力シート'!B287),"")</f>
        <v/>
      </c>
      <c r="C287" s="11">
        <f>IFERROR(IF('入力シート'!$A287="","",'入力シート'!C287),"")</f>
        <v/>
      </c>
      <c r="D287" s="11">
        <f>IFERROR(IF('入力シート'!$A287="","",'入力シート'!D287),"")</f>
        <v/>
      </c>
      <c r="E287" s="3">
        <f>IFERROR(IF('入力シート'!$A287="","",'入力シート'!I287),"")</f>
        <v/>
      </c>
      <c r="F287" s="3">
        <f>IFERROR(IF('入力シート'!$A287="","",'入力シート'!N287),"")</f>
        <v/>
      </c>
      <c r="G287" s="3">
        <f>IFERROR(IF('入力シート'!$A287="","",'入力シート'!O287),"")</f>
        <v/>
      </c>
      <c r="H287" s="17">
        <f>IFERROR(IF('入力シート'!$A287="","",'入力シート'!P287),"")</f>
        <v/>
      </c>
      <c r="I287" s="11">
        <f>IFERROR(IF('入力シート'!$A287="","",'入力シート'!Q287),"")</f>
        <v/>
      </c>
      <c r="J287" s="11">
        <f>IFERROR(IF('入力シート'!$A287="","",'入力シート'!R287),"")</f>
        <v/>
      </c>
      <c r="K287" s="11">
        <f>IFERROR(IF('入力シート'!$A287="","",IF(H287&gt;='設定'!$B$4,"OK",IF(H287&gt;='設定'!$B$5,"注意","要改善"))),"")</f>
        <v/>
      </c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</row>
    <row r="288" ht="26.75" customHeight="1">
      <c r="A288" s="11">
        <f>IFERROR(IF('入力シート'!$A288="","",'入力シート'!A288),"")</f>
        <v/>
      </c>
      <c r="B288" s="11">
        <f>IFERROR(IF('入力シート'!$A288="","",'入力シート'!B288),"")</f>
        <v/>
      </c>
      <c r="C288" s="11">
        <f>IFERROR(IF('入力シート'!$A288="","",'入力シート'!C288),"")</f>
        <v/>
      </c>
      <c r="D288" s="11">
        <f>IFERROR(IF('入力シート'!$A288="","",'入力シート'!D288),"")</f>
        <v/>
      </c>
      <c r="E288" s="3">
        <f>IFERROR(IF('入力シート'!$A288="","",'入力シート'!I288),"")</f>
        <v/>
      </c>
      <c r="F288" s="3">
        <f>IFERROR(IF('入力シート'!$A288="","",'入力シート'!N288),"")</f>
        <v/>
      </c>
      <c r="G288" s="3">
        <f>IFERROR(IF('入力シート'!$A288="","",'入力シート'!O288),"")</f>
        <v/>
      </c>
      <c r="H288" s="17">
        <f>IFERROR(IF('入力シート'!$A288="","",'入力シート'!P288),"")</f>
        <v/>
      </c>
      <c r="I288" s="11">
        <f>IFERROR(IF('入力シート'!$A288="","",'入力シート'!Q288),"")</f>
        <v/>
      </c>
      <c r="J288" s="11">
        <f>IFERROR(IF('入力シート'!$A288="","",'入力シート'!R288),"")</f>
        <v/>
      </c>
      <c r="K288" s="11">
        <f>IFERROR(IF('入力シート'!$A288="","",IF(H288&gt;='設定'!$B$4,"OK",IF(H288&gt;='設定'!$B$5,"注意","要改善"))),"")</f>
        <v/>
      </c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</row>
    <row r="289" ht="26.75" customHeight="1">
      <c r="A289" s="11">
        <f>IFERROR(IF('入力シート'!$A289="","",'入力シート'!A289),"")</f>
        <v/>
      </c>
      <c r="B289" s="11">
        <f>IFERROR(IF('入力シート'!$A289="","",'入力シート'!B289),"")</f>
        <v/>
      </c>
      <c r="C289" s="11">
        <f>IFERROR(IF('入力シート'!$A289="","",'入力シート'!C289),"")</f>
        <v/>
      </c>
      <c r="D289" s="11">
        <f>IFERROR(IF('入力シート'!$A289="","",'入力シート'!D289),"")</f>
        <v/>
      </c>
      <c r="E289" s="3">
        <f>IFERROR(IF('入力シート'!$A289="","",'入力シート'!I289),"")</f>
        <v/>
      </c>
      <c r="F289" s="3">
        <f>IFERROR(IF('入力シート'!$A289="","",'入力シート'!N289),"")</f>
        <v/>
      </c>
      <c r="G289" s="3">
        <f>IFERROR(IF('入力シート'!$A289="","",'入力シート'!O289),"")</f>
        <v/>
      </c>
      <c r="H289" s="17">
        <f>IFERROR(IF('入力シート'!$A289="","",'入力シート'!P289),"")</f>
        <v/>
      </c>
      <c r="I289" s="11">
        <f>IFERROR(IF('入力シート'!$A289="","",'入力シート'!Q289),"")</f>
        <v/>
      </c>
      <c r="J289" s="11">
        <f>IFERROR(IF('入力シート'!$A289="","",'入力シート'!R289),"")</f>
        <v/>
      </c>
      <c r="K289" s="11">
        <f>IFERROR(IF('入力シート'!$A289="","",IF(H289&gt;='設定'!$B$4,"OK",IF(H289&gt;='設定'!$B$5,"注意","要改善"))),"")</f>
        <v/>
      </c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</row>
    <row r="290" ht="26.75" customHeight="1">
      <c r="A290" s="11">
        <f>IFERROR(IF('入力シート'!$A290="","",'入力シート'!A290),"")</f>
        <v/>
      </c>
      <c r="B290" s="11">
        <f>IFERROR(IF('入力シート'!$A290="","",'入力シート'!B290),"")</f>
        <v/>
      </c>
      <c r="C290" s="11">
        <f>IFERROR(IF('入力シート'!$A290="","",'入力シート'!C290),"")</f>
        <v/>
      </c>
      <c r="D290" s="11">
        <f>IFERROR(IF('入力シート'!$A290="","",'入力シート'!D290),"")</f>
        <v/>
      </c>
      <c r="E290" s="3">
        <f>IFERROR(IF('入力シート'!$A290="","",'入力シート'!I290),"")</f>
        <v/>
      </c>
      <c r="F290" s="3">
        <f>IFERROR(IF('入力シート'!$A290="","",'入力シート'!N290),"")</f>
        <v/>
      </c>
      <c r="G290" s="3">
        <f>IFERROR(IF('入力シート'!$A290="","",'入力シート'!O290),"")</f>
        <v/>
      </c>
      <c r="H290" s="17">
        <f>IFERROR(IF('入力シート'!$A290="","",'入力シート'!P290),"")</f>
        <v/>
      </c>
      <c r="I290" s="11">
        <f>IFERROR(IF('入力シート'!$A290="","",'入力シート'!Q290),"")</f>
        <v/>
      </c>
      <c r="J290" s="11">
        <f>IFERROR(IF('入力シート'!$A290="","",'入力シート'!R290),"")</f>
        <v/>
      </c>
      <c r="K290" s="11">
        <f>IFERROR(IF('入力シート'!$A290="","",IF(H290&gt;='設定'!$B$4,"OK",IF(H290&gt;='設定'!$B$5,"注意","要改善"))),"")</f>
        <v/>
      </c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</row>
    <row r="291" ht="26.75" customHeight="1">
      <c r="A291" s="11">
        <f>IFERROR(IF('入力シート'!$A291="","",'入力シート'!A291),"")</f>
        <v/>
      </c>
      <c r="B291" s="11">
        <f>IFERROR(IF('入力シート'!$A291="","",'入力シート'!B291),"")</f>
        <v/>
      </c>
      <c r="C291" s="11">
        <f>IFERROR(IF('入力シート'!$A291="","",'入力シート'!C291),"")</f>
        <v/>
      </c>
      <c r="D291" s="11">
        <f>IFERROR(IF('入力シート'!$A291="","",'入力シート'!D291),"")</f>
        <v/>
      </c>
      <c r="E291" s="3">
        <f>IFERROR(IF('入力シート'!$A291="","",'入力シート'!I291),"")</f>
        <v/>
      </c>
      <c r="F291" s="3">
        <f>IFERROR(IF('入力シート'!$A291="","",'入力シート'!N291),"")</f>
        <v/>
      </c>
      <c r="G291" s="3">
        <f>IFERROR(IF('入力シート'!$A291="","",'入力シート'!O291),"")</f>
        <v/>
      </c>
      <c r="H291" s="17">
        <f>IFERROR(IF('入力シート'!$A291="","",'入力シート'!P291),"")</f>
        <v/>
      </c>
      <c r="I291" s="11">
        <f>IFERROR(IF('入力シート'!$A291="","",'入力シート'!Q291),"")</f>
        <v/>
      </c>
      <c r="J291" s="11">
        <f>IFERROR(IF('入力シート'!$A291="","",'入力シート'!R291),"")</f>
        <v/>
      </c>
      <c r="K291" s="11">
        <f>IFERROR(IF('入力シート'!$A291="","",IF(H291&gt;='設定'!$B$4,"OK",IF(H291&gt;='設定'!$B$5,"注意","要改善"))),"")</f>
        <v/>
      </c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</row>
    <row r="292" ht="26.75" customHeight="1">
      <c r="A292" s="11">
        <f>IFERROR(IF('入力シート'!$A292="","",'入力シート'!A292),"")</f>
        <v/>
      </c>
      <c r="B292" s="11">
        <f>IFERROR(IF('入力シート'!$A292="","",'入力シート'!B292),"")</f>
        <v/>
      </c>
      <c r="C292" s="11">
        <f>IFERROR(IF('入力シート'!$A292="","",'入力シート'!C292),"")</f>
        <v/>
      </c>
      <c r="D292" s="11">
        <f>IFERROR(IF('入力シート'!$A292="","",'入力シート'!D292),"")</f>
        <v/>
      </c>
      <c r="E292" s="3">
        <f>IFERROR(IF('入力シート'!$A292="","",'入力シート'!I292),"")</f>
        <v/>
      </c>
      <c r="F292" s="3">
        <f>IFERROR(IF('入力シート'!$A292="","",'入力シート'!N292),"")</f>
        <v/>
      </c>
      <c r="G292" s="3">
        <f>IFERROR(IF('入力シート'!$A292="","",'入力シート'!O292),"")</f>
        <v/>
      </c>
      <c r="H292" s="17">
        <f>IFERROR(IF('入力シート'!$A292="","",'入力シート'!P292),"")</f>
        <v/>
      </c>
      <c r="I292" s="11">
        <f>IFERROR(IF('入力シート'!$A292="","",'入力シート'!Q292),"")</f>
        <v/>
      </c>
      <c r="J292" s="11">
        <f>IFERROR(IF('入力シート'!$A292="","",'入力シート'!R292),"")</f>
        <v/>
      </c>
      <c r="K292" s="11">
        <f>IFERROR(IF('入力シート'!$A292="","",IF(H292&gt;='設定'!$B$4,"OK",IF(H292&gt;='設定'!$B$5,"注意","要改善"))),"")</f>
        <v/>
      </c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</row>
    <row r="293" ht="26.75" customHeight="1">
      <c r="A293" s="11">
        <f>IFERROR(IF('入力シート'!$A293="","",'入力シート'!A293),"")</f>
        <v/>
      </c>
      <c r="B293" s="11">
        <f>IFERROR(IF('入力シート'!$A293="","",'入力シート'!B293),"")</f>
        <v/>
      </c>
      <c r="C293" s="11">
        <f>IFERROR(IF('入力シート'!$A293="","",'入力シート'!C293),"")</f>
        <v/>
      </c>
      <c r="D293" s="11">
        <f>IFERROR(IF('入力シート'!$A293="","",'入力シート'!D293),"")</f>
        <v/>
      </c>
      <c r="E293" s="3">
        <f>IFERROR(IF('入力シート'!$A293="","",'入力シート'!I293),"")</f>
        <v/>
      </c>
      <c r="F293" s="3">
        <f>IFERROR(IF('入力シート'!$A293="","",'入力シート'!N293),"")</f>
        <v/>
      </c>
      <c r="G293" s="3">
        <f>IFERROR(IF('入力シート'!$A293="","",'入力シート'!O293),"")</f>
        <v/>
      </c>
      <c r="H293" s="17">
        <f>IFERROR(IF('入力シート'!$A293="","",'入力シート'!P293),"")</f>
        <v/>
      </c>
      <c r="I293" s="11">
        <f>IFERROR(IF('入力シート'!$A293="","",'入力シート'!Q293),"")</f>
        <v/>
      </c>
      <c r="J293" s="11">
        <f>IFERROR(IF('入力シート'!$A293="","",'入力シート'!R293),"")</f>
        <v/>
      </c>
      <c r="K293" s="11">
        <f>IFERROR(IF('入力シート'!$A293="","",IF(H293&gt;='設定'!$B$4,"OK",IF(H293&gt;='設定'!$B$5,"注意","要改善"))),"")</f>
        <v/>
      </c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</row>
    <row r="294" ht="26.75" customHeight="1">
      <c r="A294" s="11">
        <f>IFERROR(IF('入力シート'!$A294="","",'入力シート'!A294),"")</f>
        <v/>
      </c>
      <c r="B294" s="11">
        <f>IFERROR(IF('入力シート'!$A294="","",'入力シート'!B294),"")</f>
        <v/>
      </c>
      <c r="C294" s="11">
        <f>IFERROR(IF('入力シート'!$A294="","",'入力シート'!C294),"")</f>
        <v/>
      </c>
      <c r="D294" s="11">
        <f>IFERROR(IF('入力シート'!$A294="","",'入力シート'!D294),"")</f>
        <v/>
      </c>
      <c r="E294" s="3">
        <f>IFERROR(IF('入力シート'!$A294="","",'入力シート'!I294),"")</f>
        <v/>
      </c>
      <c r="F294" s="3">
        <f>IFERROR(IF('入力シート'!$A294="","",'入力シート'!N294),"")</f>
        <v/>
      </c>
      <c r="G294" s="3">
        <f>IFERROR(IF('入力シート'!$A294="","",'入力シート'!O294),"")</f>
        <v/>
      </c>
      <c r="H294" s="17">
        <f>IFERROR(IF('入力シート'!$A294="","",'入力シート'!P294),"")</f>
        <v/>
      </c>
      <c r="I294" s="11">
        <f>IFERROR(IF('入力シート'!$A294="","",'入力シート'!Q294),"")</f>
        <v/>
      </c>
      <c r="J294" s="11">
        <f>IFERROR(IF('入力シート'!$A294="","",'入力シート'!R294),"")</f>
        <v/>
      </c>
      <c r="K294" s="11">
        <f>IFERROR(IF('入力シート'!$A294="","",IF(H294&gt;='設定'!$B$4,"OK",IF(H294&gt;='設定'!$B$5,"注意","要改善"))),"")</f>
        <v/>
      </c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</row>
    <row r="295" ht="26.75" customHeight="1">
      <c r="A295" s="11">
        <f>IFERROR(IF('入力シート'!$A295="","",'入力シート'!A295),"")</f>
        <v/>
      </c>
      <c r="B295" s="11">
        <f>IFERROR(IF('入力シート'!$A295="","",'入力シート'!B295),"")</f>
        <v/>
      </c>
      <c r="C295" s="11">
        <f>IFERROR(IF('入力シート'!$A295="","",'入力シート'!C295),"")</f>
        <v/>
      </c>
      <c r="D295" s="11">
        <f>IFERROR(IF('入力シート'!$A295="","",'入力シート'!D295),"")</f>
        <v/>
      </c>
      <c r="E295" s="3">
        <f>IFERROR(IF('入力シート'!$A295="","",'入力シート'!I295),"")</f>
        <v/>
      </c>
      <c r="F295" s="3">
        <f>IFERROR(IF('入力シート'!$A295="","",'入力シート'!N295),"")</f>
        <v/>
      </c>
      <c r="G295" s="3">
        <f>IFERROR(IF('入力シート'!$A295="","",'入力シート'!O295),"")</f>
        <v/>
      </c>
      <c r="H295" s="17">
        <f>IFERROR(IF('入力シート'!$A295="","",'入力シート'!P295),"")</f>
        <v/>
      </c>
      <c r="I295" s="11">
        <f>IFERROR(IF('入力シート'!$A295="","",'入力シート'!Q295),"")</f>
        <v/>
      </c>
      <c r="J295" s="11">
        <f>IFERROR(IF('入力シート'!$A295="","",'入力シート'!R295),"")</f>
        <v/>
      </c>
      <c r="K295" s="11">
        <f>IFERROR(IF('入力シート'!$A295="","",IF(H295&gt;='設定'!$B$4,"OK",IF(H295&gt;='設定'!$B$5,"注意","要改善"))),"")</f>
        <v/>
      </c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</row>
    <row r="296" ht="26.75" customHeight="1">
      <c r="A296" s="11">
        <f>IFERROR(IF('入力シート'!$A296="","",'入力シート'!A296),"")</f>
        <v/>
      </c>
      <c r="B296" s="11">
        <f>IFERROR(IF('入力シート'!$A296="","",'入力シート'!B296),"")</f>
        <v/>
      </c>
      <c r="C296" s="11">
        <f>IFERROR(IF('入力シート'!$A296="","",'入力シート'!C296),"")</f>
        <v/>
      </c>
      <c r="D296" s="11">
        <f>IFERROR(IF('入力シート'!$A296="","",'入力シート'!D296),"")</f>
        <v/>
      </c>
      <c r="E296" s="3">
        <f>IFERROR(IF('入力シート'!$A296="","",'入力シート'!I296),"")</f>
        <v/>
      </c>
      <c r="F296" s="3">
        <f>IFERROR(IF('入力シート'!$A296="","",'入力シート'!N296),"")</f>
        <v/>
      </c>
      <c r="G296" s="3">
        <f>IFERROR(IF('入力シート'!$A296="","",'入力シート'!O296),"")</f>
        <v/>
      </c>
      <c r="H296" s="17">
        <f>IFERROR(IF('入力シート'!$A296="","",'入力シート'!P296),"")</f>
        <v/>
      </c>
      <c r="I296" s="11">
        <f>IFERROR(IF('入力シート'!$A296="","",'入力シート'!Q296),"")</f>
        <v/>
      </c>
      <c r="J296" s="11">
        <f>IFERROR(IF('入力シート'!$A296="","",'入力シート'!R296),"")</f>
        <v/>
      </c>
      <c r="K296" s="11">
        <f>IFERROR(IF('入力シート'!$A296="","",IF(H296&gt;='設定'!$B$4,"OK",IF(H296&gt;='設定'!$B$5,"注意","要改善"))),"")</f>
        <v/>
      </c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</row>
    <row r="297" ht="26.75" customHeight="1">
      <c r="A297" s="11">
        <f>IFERROR(IF('入力シート'!$A297="","",'入力シート'!A297),"")</f>
        <v/>
      </c>
      <c r="B297" s="11">
        <f>IFERROR(IF('入力シート'!$A297="","",'入力シート'!B297),"")</f>
        <v/>
      </c>
      <c r="C297" s="11">
        <f>IFERROR(IF('入力シート'!$A297="","",'入力シート'!C297),"")</f>
        <v/>
      </c>
      <c r="D297" s="11">
        <f>IFERROR(IF('入力シート'!$A297="","",'入力シート'!D297),"")</f>
        <v/>
      </c>
      <c r="E297" s="3">
        <f>IFERROR(IF('入力シート'!$A297="","",'入力シート'!I297),"")</f>
        <v/>
      </c>
      <c r="F297" s="3">
        <f>IFERROR(IF('入力シート'!$A297="","",'入力シート'!N297),"")</f>
        <v/>
      </c>
      <c r="G297" s="3">
        <f>IFERROR(IF('入力シート'!$A297="","",'入力シート'!O297),"")</f>
        <v/>
      </c>
      <c r="H297" s="17">
        <f>IFERROR(IF('入力シート'!$A297="","",'入力シート'!P297),"")</f>
        <v/>
      </c>
      <c r="I297" s="11">
        <f>IFERROR(IF('入力シート'!$A297="","",'入力シート'!Q297),"")</f>
        <v/>
      </c>
      <c r="J297" s="11">
        <f>IFERROR(IF('入力シート'!$A297="","",'入力シート'!R297),"")</f>
        <v/>
      </c>
      <c r="K297" s="11">
        <f>IFERROR(IF('入力シート'!$A297="","",IF(H297&gt;='設定'!$B$4,"OK",IF(H297&gt;='設定'!$B$5,"注意","要改善"))),"")</f>
        <v/>
      </c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</row>
    <row r="298" ht="26.75" customHeight="1">
      <c r="A298" s="11">
        <f>IFERROR(IF('入力シート'!$A298="","",'入力シート'!A298),"")</f>
        <v/>
      </c>
      <c r="B298" s="11">
        <f>IFERROR(IF('入力シート'!$A298="","",'入力シート'!B298),"")</f>
        <v/>
      </c>
      <c r="C298" s="11">
        <f>IFERROR(IF('入力シート'!$A298="","",'入力シート'!C298),"")</f>
        <v/>
      </c>
      <c r="D298" s="11">
        <f>IFERROR(IF('入力シート'!$A298="","",'入力シート'!D298),"")</f>
        <v/>
      </c>
      <c r="E298" s="3">
        <f>IFERROR(IF('入力シート'!$A298="","",'入力シート'!I298),"")</f>
        <v/>
      </c>
      <c r="F298" s="3">
        <f>IFERROR(IF('入力シート'!$A298="","",'入力シート'!N298),"")</f>
        <v/>
      </c>
      <c r="G298" s="3">
        <f>IFERROR(IF('入力シート'!$A298="","",'入力シート'!O298),"")</f>
        <v/>
      </c>
      <c r="H298" s="17">
        <f>IFERROR(IF('入力シート'!$A298="","",'入力シート'!P298),"")</f>
        <v/>
      </c>
      <c r="I298" s="11">
        <f>IFERROR(IF('入力シート'!$A298="","",'入力シート'!Q298),"")</f>
        <v/>
      </c>
      <c r="J298" s="11">
        <f>IFERROR(IF('入力シート'!$A298="","",'入力シート'!R298),"")</f>
        <v/>
      </c>
      <c r="K298" s="11">
        <f>IFERROR(IF('入力シート'!$A298="","",IF(H298&gt;='設定'!$B$4,"OK",IF(H298&gt;='設定'!$B$5,"注意","要改善"))),"")</f>
        <v/>
      </c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</row>
    <row r="299" ht="26.75" customHeight="1">
      <c r="A299" s="11">
        <f>IFERROR(IF('入力シート'!$A299="","",'入力シート'!A299),"")</f>
        <v/>
      </c>
      <c r="B299" s="11">
        <f>IFERROR(IF('入力シート'!$A299="","",'入力シート'!B299),"")</f>
        <v/>
      </c>
      <c r="C299" s="11">
        <f>IFERROR(IF('入力シート'!$A299="","",'入力シート'!C299),"")</f>
        <v/>
      </c>
      <c r="D299" s="11">
        <f>IFERROR(IF('入力シート'!$A299="","",'入力シート'!D299),"")</f>
        <v/>
      </c>
      <c r="E299" s="3">
        <f>IFERROR(IF('入力シート'!$A299="","",'入力シート'!I299),"")</f>
        <v/>
      </c>
      <c r="F299" s="3">
        <f>IFERROR(IF('入力シート'!$A299="","",'入力シート'!N299),"")</f>
        <v/>
      </c>
      <c r="G299" s="3">
        <f>IFERROR(IF('入力シート'!$A299="","",'入力シート'!O299),"")</f>
        <v/>
      </c>
      <c r="H299" s="17">
        <f>IFERROR(IF('入力シート'!$A299="","",'入力シート'!P299),"")</f>
        <v/>
      </c>
      <c r="I299" s="11">
        <f>IFERROR(IF('入力シート'!$A299="","",'入力シート'!Q299),"")</f>
        <v/>
      </c>
      <c r="J299" s="11">
        <f>IFERROR(IF('入力シート'!$A299="","",'入力シート'!R299),"")</f>
        <v/>
      </c>
      <c r="K299" s="11">
        <f>IFERROR(IF('入力シート'!$A299="","",IF(H299&gt;='設定'!$B$4,"OK",IF(H299&gt;='設定'!$B$5,"注意","要改善"))),"")</f>
        <v/>
      </c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</row>
    <row r="300" ht="26.75" customHeight="1">
      <c r="A300" s="11">
        <f>IFERROR(IF('入力シート'!$A300="","",'入力シート'!A300),"")</f>
        <v/>
      </c>
      <c r="B300" s="11">
        <f>IFERROR(IF('入力シート'!$A300="","",'入力シート'!B300),"")</f>
        <v/>
      </c>
      <c r="C300" s="11">
        <f>IFERROR(IF('入力シート'!$A300="","",'入力シート'!C300),"")</f>
        <v/>
      </c>
      <c r="D300" s="11">
        <f>IFERROR(IF('入力シート'!$A300="","",'入力シート'!D300),"")</f>
        <v/>
      </c>
      <c r="E300" s="3">
        <f>IFERROR(IF('入力シート'!$A300="","",'入力シート'!I300),"")</f>
        <v/>
      </c>
      <c r="F300" s="3">
        <f>IFERROR(IF('入力シート'!$A300="","",'入力シート'!N300),"")</f>
        <v/>
      </c>
      <c r="G300" s="3">
        <f>IFERROR(IF('入力シート'!$A300="","",'入力シート'!O300),"")</f>
        <v/>
      </c>
      <c r="H300" s="17">
        <f>IFERROR(IF('入力シート'!$A300="","",'入力シート'!P300),"")</f>
        <v/>
      </c>
      <c r="I300" s="11">
        <f>IFERROR(IF('入力シート'!$A300="","",'入力シート'!Q300),"")</f>
        <v/>
      </c>
      <c r="J300" s="11">
        <f>IFERROR(IF('入力シート'!$A300="","",'入力シート'!R300),"")</f>
        <v/>
      </c>
      <c r="K300" s="11">
        <f>IFERROR(IF('入力シート'!$A300="","",IF(H300&gt;='設定'!$B$4,"OK",IF(H300&gt;='設定'!$B$5,"注意","要改善"))),"")</f>
        <v/>
      </c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</row>
    <row r="301" ht="16" customHeight="1">
      <c r="A301" s="11">
        <f>IFERROR(IF('入力シート'!$A301="","",'入力シート'!A301),"")</f>
        <v/>
      </c>
      <c r="B301" s="11">
        <f>IFERROR(IF('入力シート'!$A301="","",'入力シート'!B301),"")</f>
        <v/>
      </c>
      <c r="C301" s="11">
        <f>IFERROR(IF('入力シート'!$A301="","",'入力シート'!C301),"")</f>
        <v/>
      </c>
      <c r="D301" s="11">
        <f>IFERROR(IF('入力シート'!$A301="","",'入力シート'!D301),"")</f>
        <v/>
      </c>
      <c r="E301" s="3">
        <f>IFERROR(IF('入力シート'!$A301="","",'入力シート'!I301),"")</f>
        <v/>
      </c>
      <c r="F301" s="3">
        <f>IFERROR(IF('入力シート'!$A301="","",'入力シート'!N301),"")</f>
        <v/>
      </c>
      <c r="G301" s="3">
        <f>IFERROR(IF('入力シート'!$A301="","",'入力シート'!O301),"")</f>
        <v/>
      </c>
      <c r="H301" s="17">
        <f>IFERROR(IF('入力シート'!$A301="","",'入力シート'!P301),"")</f>
        <v/>
      </c>
      <c r="I301" s="11">
        <f>IFERROR(IF('入力シート'!$A301="","",'入力シート'!Q301),"")</f>
        <v/>
      </c>
      <c r="J301" s="11">
        <f>IFERROR(IF('入力シート'!$A301="","",'入力シート'!R301),"")</f>
        <v/>
      </c>
      <c r="K301" s="11">
        <f>IFERROR(IF('入力シート'!$A301="","",IF(H301&gt;='設定'!$B$4,"OK",IF(H301&gt;='設定'!$B$5,"注意","要改善"))),"")</f>
        <v/>
      </c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</row>
  </sheetData>
  <conditionalFormatting sqref="K2:K301">
    <cfRule type="expression" priority="1" dxfId="4">
      <formula>$K2="要改善"</formula>
    </cfRule>
    <cfRule type="expression" priority="2" dxfId="3">
      <formula>$K2="注意"</formula>
    </cfRule>
    <cfRule type="expression" priority="3" dxfId="2">
      <formula>$K2="OK"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301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4" customWidth="1" min="2" max="3"/>
    <col width="12" customWidth="1" min="4" max="4"/>
    <col width="10" customWidth="1" min="5" max="6"/>
    <col width="12" customWidth="1" min="7" max="7"/>
    <col width="18" customWidth="1" min="8" max="8"/>
  </cols>
  <sheetData>
    <row r="1" ht="34" customHeight="1">
      <c r="A1" s="12" t="inlineStr">
        <is>
          <t>粗利分析ダッシュボード</t>
        </is>
      </c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</row>
    <row r="2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</row>
    <row r="3" ht="26.75" customHeight="1">
      <c r="A3" s="1" t="inlineStr">
        <is>
          <t>項目</t>
        </is>
      </c>
      <c r="B3" s="1" t="inlineStr">
        <is>
          <t>金額・率</t>
        </is>
      </c>
      <c r="C3" s="1" t="inlineStr">
        <is>
          <t>コメント</t>
        </is>
      </c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 ht="26.75" customHeight="1">
      <c r="A4" s="11" t="inlineStr">
        <is>
          <t>お客様見積合計（税抜）</t>
        </is>
      </c>
      <c r="B4" s="3">
        <f>'社内実行予算書'!B18</f>
        <v/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</row>
    <row r="5" ht="26.75" customHeight="1">
      <c r="A5" s="11" t="inlineStr">
        <is>
          <t>社内実行予算合計</t>
        </is>
      </c>
      <c r="B5" s="3">
        <f>'社内実行予算書'!C18</f>
        <v/>
      </c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 ht="26.75" customHeight="1">
      <c r="A6" s="11" t="inlineStr">
        <is>
          <t>粗利額</t>
        </is>
      </c>
      <c r="B6" s="3">
        <f>'社内実行予算書'!D18</f>
        <v/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 ht="26.75" customHeight="1">
      <c r="A7" s="11" t="inlineStr">
        <is>
          <t>粗利率</t>
        </is>
      </c>
      <c r="B7" s="17">
        <f>IFERROR(B6/B4,0)</f>
        <v/>
      </c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 ht="26.75" customHeight="1">
      <c r="A8" s="11" t="inlineStr">
        <is>
          <t>税込見積合計</t>
        </is>
      </c>
      <c r="B8" s="3">
        <f>'お客様見積書'!D22</f>
        <v/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 ht="26.75" customHeight="1">
      <c r="A9" s="11" t="inlineStr">
        <is>
          <t>目標粗利率</t>
        </is>
      </c>
      <c r="B9" s="17">
        <f>'設定'!$B$4</f>
        <v/>
      </c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 ht="26.75" customHeight="1">
      <c r="A11" s="1" t="inlineStr">
        <is>
          <t>工区・部屋</t>
        </is>
      </c>
      <c r="B11" s="1" t="inlineStr">
        <is>
          <t>お客様見積</t>
        </is>
      </c>
      <c r="C11" s="1" t="inlineStr">
        <is>
          <t>社内実行予算</t>
        </is>
      </c>
      <c r="D11" s="1" t="inlineStr">
        <is>
          <t>粗利額</t>
        </is>
      </c>
      <c r="E11" s="1" t="inlineStr">
        <is>
          <t>粗利率</t>
        </is>
      </c>
      <c r="F11" s="1" t="inlineStr">
        <is>
          <t>判定</t>
        </is>
      </c>
      <c r="G11" s="1" t="inlineStr">
        <is>
          <t>比率バー</t>
        </is>
      </c>
      <c r="H11" s="1" t="inlineStr">
        <is>
          <t>備考</t>
        </is>
      </c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ht="26.75" customHeight="1">
      <c r="A12" s="11">
        <f>'社内実行予算書'!A4</f>
        <v/>
      </c>
      <c r="B12" s="3">
        <f>'社内実行予算書'!B4</f>
        <v/>
      </c>
      <c r="C12" s="3">
        <f>'社内実行予算書'!C4</f>
        <v/>
      </c>
      <c r="D12" s="3">
        <f>'社内実行予算書'!D4</f>
        <v/>
      </c>
      <c r="E12" s="17">
        <f>'社内実行予算書'!E4</f>
        <v/>
      </c>
      <c r="F12" s="17">
        <f>'社内実行予算書'!G4</f>
        <v/>
      </c>
      <c r="G12" s="17">
        <f>'社内実行予算書'!E4</f>
        <v/>
      </c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 ht="26.75" customHeight="1">
      <c r="A13" s="11">
        <f>'社内実行予算書'!A5</f>
        <v/>
      </c>
      <c r="B13" s="3">
        <f>'社内実行予算書'!B5</f>
        <v/>
      </c>
      <c r="C13" s="3">
        <f>'社内実行予算書'!C5</f>
        <v/>
      </c>
      <c r="D13" s="3">
        <f>'社内実行予算書'!D5</f>
        <v/>
      </c>
      <c r="E13" s="17">
        <f>'社内実行予算書'!E5</f>
        <v/>
      </c>
      <c r="F13" s="17">
        <f>'社内実行予算書'!G5</f>
        <v/>
      </c>
      <c r="G13" s="17">
        <f>'社内実行予算書'!E5</f>
        <v/>
      </c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</row>
    <row r="14" ht="26.75" customHeight="1">
      <c r="A14" s="11">
        <f>'社内実行予算書'!A6</f>
        <v/>
      </c>
      <c r="B14" s="3">
        <f>'社内実行予算書'!B6</f>
        <v/>
      </c>
      <c r="C14" s="3">
        <f>'社内実行予算書'!C6</f>
        <v/>
      </c>
      <c r="D14" s="3">
        <f>'社内実行予算書'!D6</f>
        <v/>
      </c>
      <c r="E14" s="17">
        <f>'社内実行予算書'!E6</f>
        <v/>
      </c>
      <c r="F14" s="17">
        <f>'社内実行予算書'!G6</f>
        <v/>
      </c>
      <c r="G14" s="17">
        <f>'社内実行予算書'!E6</f>
        <v/>
      </c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 ht="26.75" customHeight="1">
      <c r="A15" s="11">
        <f>'社内実行予算書'!A7</f>
        <v/>
      </c>
      <c r="B15" s="3">
        <f>'社内実行予算書'!B7</f>
        <v/>
      </c>
      <c r="C15" s="3">
        <f>'社内実行予算書'!C7</f>
        <v/>
      </c>
      <c r="D15" s="3">
        <f>'社内実行予算書'!D7</f>
        <v/>
      </c>
      <c r="E15" s="17">
        <f>'社内実行予算書'!E7</f>
        <v/>
      </c>
      <c r="F15" s="17">
        <f>'社内実行予算書'!G7</f>
        <v/>
      </c>
      <c r="G15" s="17">
        <f>'社内実行予算書'!E7</f>
        <v/>
      </c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</row>
    <row r="16" ht="26.75" customHeight="1">
      <c r="A16" s="11">
        <f>'社内実行予算書'!A8</f>
        <v/>
      </c>
      <c r="B16" s="3">
        <f>'社内実行予算書'!B8</f>
        <v/>
      </c>
      <c r="C16" s="3">
        <f>'社内実行予算書'!C8</f>
        <v/>
      </c>
      <c r="D16" s="3">
        <f>'社内実行予算書'!D8</f>
        <v/>
      </c>
      <c r="E16" s="17">
        <f>'社内実行予算書'!E8</f>
        <v/>
      </c>
      <c r="F16" s="17">
        <f>'社内実行予算書'!G8</f>
        <v/>
      </c>
      <c r="G16" s="17">
        <f>'社内実行予算書'!E8</f>
        <v/>
      </c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 ht="26.75" customHeight="1">
      <c r="A17" s="11">
        <f>'社内実行予算書'!A9</f>
        <v/>
      </c>
      <c r="B17" s="3">
        <f>'社内実行予算書'!B9</f>
        <v/>
      </c>
      <c r="C17" s="3">
        <f>'社内実行予算書'!C9</f>
        <v/>
      </c>
      <c r="D17" s="3">
        <f>'社内実行予算書'!D9</f>
        <v/>
      </c>
      <c r="E17" s="17">
        <f>'社内実行予算書'!E9</f>
        <v/>
      </c>
      <c r="F17" s="17">
        <f>'社内実行予算書'!G9</f>
        <v/>
      </c>
      <c r="G17" s="17">
        <f>'社内実行予算書'!E9</f>
        <v/>
      </c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 ht="26.75" customHeight="1">
      <c r="A18" s="11">
        <f>'社内実行予算書'!A10</f>
        <v/>
      </c>
      <c r="B18" s="3">
        <f>'社内実行予算書'!B10</f>
        <v/>
      </c>
      <c r="C18" s="3">
        <f>'社内実行予算書'!C10</f>
        <v/>
      </c>
      <c r="D18" s="3">
        <f>'社内実行予算書'!D10</f>
        <v/>
      </c>
      <c r="E18" s="17">
        <f>'社内実行予算書'!E10</f>
        <v/>
      </c>
      <c r="F18" s="17">
        <f>'社内実行予算書'!G10</f>
        <v/>
      </c>
      <c r="G18" s="17">
        <f>'社内実行予算書'!E10</f>
        <v/>
      </c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 ht="26.75" customHeight="1">
      <c r="A19" s="11">
        <f>'社内実行予算書'!A11</f>
        <v/>
      </c>
      <c r="B19" s="3">
        <f>'社内実行予算書'!B11</f>
        <v/>
      </c>
      <c r="C19" s="3">
        <f>'社内実行予算書'!C11</f>
        <v/>
      </c>
      <c r="D19" s="3">
        <f>'社内実行予算書'!D11</f>
        <v/>
      </c>
      <c r="E19" s="17">
        <f>'社内実行予算書'!E11</f>
        <v/>
      </c>
      <c r="F19" s="17">
        <f>'社内実行予算書'!G11</f>
        <v/>
      </c>
      <c r="G19" s="17">
        <f>'社内実行予算書'!E11</f>
        <v/>
      </c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</row>
    <row r="20" ht="26.75" customHeight="1">
      <c r="A20" s="11">
        <f>'社内実行予算書'!A12</f>
        <v/>
      </c>
      <c r="B20" s="3">
        <f>'社内実行予算書'!B12</f>
        <v/>
      </c>
      <c r="C20" s="3">
        <f>'社内実行予算書'!C12</f>
        <v/>
      </c>
      <c r="D20" s="3">
        <f>'社内実行予算書'!D12</f>
        <v/>
      </c>
      <c r="E20" s="17">
        <f>'社内実行予算書'!E12</f>
        <v/>
      </c>
      <c r="F20" s="17">
        <f>'社内実行予算書'!G12</f>
        <v/>
      </c>
      <c r="G20" s="17">
        <f>'社内実行予算書'!E12</f>
        <v/>
      </c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26.75" customHeight="1">
      <c r="A21" s="11">
        <f>'社内実行予算書'!A13</f>
        <v/>
      </c>
      <c r="B21" s="3">
        <f>'社内実行予算書'!B13</f>
        <v/>
      </c>
      <c r="C21" s="3">
        <f>'社内実行予算書'!C13</f>
        <v/>
      </c>
      <c r="D21" s="3">
        <f>'社内実行予算書'!D13</f>
        <v/>
      </c>
      <c r="E21" s="17">
        <f>'社内実行予算書'!E13</f>
        <v/>
      </c>
      <c r="F21" s="17">
        <f>'社内実行予算書'!G13</f>
        <v/>
      </c>
      <c r="G21" s="17">
        <f>'社内実行予算書'!E13</f>
        <v/>
      </c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ht="26.75" customHeight="1">
      <c r="A22" s="11">
        <f>'社内実行予算書'!A14</f>
        <v/>
      </c>
      <c r="B22" s="3">
        <f>'社内実行予算書'!B14</f>
        <v/>
      </c>
      <c r="C22" s="3">
        <f>'社内実行予算書'!C14</f>
        <v/>
      </c>
      <c r="D22" s="3">
        <f>'社内実行予算書'!D14</f>
        <v/>
      </c>
      <c r="E22" s="17">
        <f>'社内実行予算書'!E14</f>
        <v/>
      </c>
      <c r="F22" s="17">
        <f>'社内実行予算書'!G14</f>
        <v/>
      </c>
      <c r="G22" s="17">
        <f>'社内実行予算書'!E14</f>
        <v/>
      </c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 ht="26.75" customHeight="1">
      <c r="A23" s="11">
        <f>'社内実行予算書'!A15</f>
        <v/>
      </c>
      <c r="B23" s="3">
        <f>'社内実行予算書'!B15</f>
        <v/>
      </c>
      <c r="C23" s="3">
        <f>'社内実行予算書'!C15</f>
        <v/>
      </c>
      <c r="D23" s="3">
        <f>'社内実行予算書'!D15</f>
        <v/>
      </c>
      <c r="E23" s="17">
        <f>'社内実行予算書'!E15</f>
        <v/>
      </c>
      <c r="F23" s="17">
        <f>'社内実行予算書'!G15</f>
        <v/>
      </c>
      <c r="G23" s="17">
        <f>'社内実行予算書'!E15</f>
        <v/>
      </c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</row>
    <row r="24">
      <c r="A24" s="19">
        <f>'社内実行予算書'!A16</f>
        <v/>
      </c>
      <c r="B24" s="20">
        <f>'社内実行予算書'!B16</f>
        <v/>
      </c>
      <c r="C24" s="20">
        <f>'社内実行予算書'!C16</f>
        <v/>
      </c>
      <c r="D24" s="20">
        <f>'社内実行予算書'!D16</f>
        <v/>
      </c>
      <c r="E24" s="25">
        <f>'社内実行予算書'!E16</f>
        <v/>
      </c>
      <c r="F24" s="11">
        <f>'社内実行予算書'!G16</f>
        <v/>
      </c>
      <c r="G24" s="11">
        <f>'社内実行予算書'!E16</f>
        <v/>
      </c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>
      <c r="A25" s="19">
        <f>'社内実行予算書'!A18</f>
        <v/>
      </c>
      <c r="B25" s="20">
        <f>'社内実行予算書'!B18</f>
        <v/>
      </c>
      <c r="C25" s="20">
        <f>'社内実行予算書'!C18</f>
        <v/>
      </c>
      <c r="D25" s="20">
        <f>'社内実行予算書'!D18</f>
        <v/>
      </c>
      <c r="E25" s="25">
        <f>'社内実行予算書'!E18</f>
        <v/>
      </c>
      <c r="F25" s="11">
        <f>'社内実行予算書'!G18</f>
        <v/>
      </c>
      <c r="G25" s="11">
        <f>'社内実行予算書'!E18</f>
        <v/>
      </c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>
      <c r="A27" s="1" t="inlineStr">
        <is>
          <t>カテゴリ別内訳（税抜）</t>
        </is>
      </c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</row>
    <row r="28">
      <c r="A28" s="1" t="inlineStr">
        <is>
          <t>カテゴリ</t>
        </is>
      </c>
      <c r="B28" s="1" t="inlineStr">
        <is>
          <t>お客様金額</t>
        </is>
      </c>
      <c r="C28" s="1" t="inlineStr">
        <is>
          <t>実行予算</t>
        </is>
      </c>
      <c r="D28" s="1" t="inlineStr">
        <is>
          <t>粗利額</t>
        </is>
      </c>
      <c r="E28" s="1" t="inlineStr">
        <is>
          <t>粗利率</t>
        </is>
      </c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>
      <c r="A29" s="19" t="inlineStr">
        <is>
          <t>材料</t>
        </is>
      </c>
      <c r="B29" s="20">
        <f>SUMIFS('入力シート'!$I$2:$I$301,'入力シート'!$C$2:$C$301,"材料",'入力シート'!$S$2:$S$301,"表示")</f>
        <v/>
      </c>
      <c r="C29" s="20">
        <f>SUMIFS('入力シート'!$N$2:$N$301,'入力シート'!$C$2:$C$301,"材料",'入力シート'!$S$2:$S$301,"表示")</f>
        <v/>
      </c>
      <c r="D29" s="20">
        <f>B29-C29</f>
        <v/>
      </c>
      <c r="E29" s="25">
        <f>IFERROR(D29/B29,0)</f>
        <v/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</row>
    <row r="30">
      <c r="A30" s="19" t="inlineStr">
        <is>
          <t>施工</t>
        </is>
      </c>
      <c r="B30" s="20">
        <f>SUMIFS('入力シート'!$I$2:$I$301,'入力シート'!$C$2:$C$301,"施工",'入力シート'!$S$2:$S$301,"表示")</f>
        <v/>
      </c>
      <c r="C30" s="20">
        <f>SUMIFS('入力シート'!$N$2:$N$301,'入力シート'!$C$2:$C$301,"施工",'入力シート'!$S$2:$S$301,"表示")</f>
        <v/>
      </c>
      <c r="D30" s="20">
        <f>B30-C30</f>
        <v/>
      </c>
      <c r="E30" s="25">
        <f>IFERROR(D30/B30,0)</f>
        <v/>
      </c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</row>
    <row r="31">
      <c r="A31" s="19" t="inlineStr">
        <is>
          <t>経費</t>
        </is>
      </c>
      <c r="B31" s="20">
        <f>SUMIFS('入力シート'!$I$2:$I$301,'入力シート'!$C$2:$C$301,"経費",'入力シート'!$S$2:$S$301,"表示")</f>
        <v/>
      </c>
      <c r="C31" s="20">
        <f>SUMIFS('入力シート'!$N$2:$N$301,'入力シート'!$C$2:$C$301,"経費",'入力シート'!$S$2:$S$301,"表示")</f>
        <v/>
      </c>
      <c r="D31" s="20">
        <f>B31-C31</f>
        <v/>
      </c>
      <c r="E31" s="25">
        <f>IFERROR(D31/B31,0)</f>
        <v/>
      </c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</row>
    <row r="32">
      <c r="A32" s="19" t="inlineStr">
        <is>
          <t>合計</t>
        </is>
      </c>
      <c r="B32" s="26">
        <f>SUM(B29:B31)</f>
        <v/>
      </c>
      <c r="C32" s="26">
        <f>SUM(C29:C31)</f>
        <v/>
      </c>
      <c r="D32" s="26">
        <f>B32-C32</f>
        <v/>
      </c>
      <c r="E32" s="27">
        <f>IFERROR(D32/B32,0)</f>
        <v/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</row>
    <row r="256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</row>
    <row r="257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</row>
    <row r="300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</row>
    <row r="30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</row>
  </sheetData>
  <mergeCells count="1">
    <mergeCell ref="A1:H1"/>
  </mergeCells>
  <conditionalFormatting sqref="G12:G23">
    <cfRule type="dataBar" priority="1">
      <dataBar>
        <cfvo type="min"/>
        <cfvo type="max"/>
        <color rgb="FF70AD47"/>
      </dataBar>
    </cfRule>
    <cfRule type="dataBar" priority="2">
      <dataBar>
        <cfvo type="min"/>
        <cfvo type="max"/>
        <color rgb="FF70AD47"/>
      </dataBar>
    </cfRule>
    <cfRule type="dataBar" priority="5">
      <dataBar>
        <cfvo type="min"/>
        <cfvo type="max"/>
        <color rgb="FF70AD47"/>
      </dataBar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2026-07-20T02:47:36Z</dcterms:created>
  <dcterms:modified xsi:type="dcterms:W3CDTF">2026-07-20T02:47:37Z</dcterms:modified>
</cp:coreProperties>
</file>